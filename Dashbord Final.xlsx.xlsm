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Viviendad_Comunidad_Valenciana_y_España\"/>
    </mc:Choice>
  </mc:AlternateContent>
  <xr:revisionPtr revIDLastSave="0" documentId="13_ncr:1_{E2A68174-B989-4B97-9234-138E85032B72}" xr6:coauthVersionLast="47" xr6:coauthVersionMax="47" xr10:uidLastSave="{00000000-0000-0000-0000-000000000000}"/>
  <workbookProtection workbookAlgorithmName="SHA-512" workbookHashValue="Pt8NCK9/WWGTZnb8ZUZXlsYH6QQVPFlimnJc+SlCJ3Sn0PHEz1AngXIEvnqjKd+l1NlEjJGUvq8X9QlzJk2Q1A==" workbookSaltValue="4qY7CJ2QT/oXDFtgZGT9PQ==" workbookSpinCount="100000" lockStructure="1"/>
  <bookViews>
    <workbookView xWindow="-108" yWindow="-108" windowWidth="23256" windowHeight="12456" activeTab="1" xr2:uid="{F98D86BC-5A6B-42A4-8374-60333DC54E88}"/>
  </bookViews>
  <sheets>
    <sheet name="Datos" sheetId="1" r:id="rId1"/>
    <sheet name="Dashboard" sheetId="2" r:id="rId2"/>
  </sheets>
  <definedNames>
    <definedName name="_xlnm.Print_Area" localSheetId="1">Dashboard!$A$2:$M$35</definedName>
    <definedName name="DatosExternos_1" localSheetId="0" hidden="1">Datos!#REF!</definedName>
    <definedName name="DatosExternos_2" localSheetId="0" hidden="1">Datos!#REF!</definedName>
    <definedName name="SegmentaciónDeDatos_Año">#N/A</definedName>
    <definedName name="SegmentaciónDeDatos_Regíon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2" l="1"/>
  <c r="J1" i="2"/>
  <c r="J3" i="2"/>
  <c r="K4" i="2"/>
  <c r="J4" i="2"/>
  <c r="H3" i="2"/>
  <c r="H4" i="2"/>
  <c r="K3" i="2"/>
  <c r="I3" i="2"/>
  <c r="C3" i="2"/>
  <c r="I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D111" authorId="0" shapeId="0" xr:uid="{948CC4CB-3463-4D65-8615-5A80D0809643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8E2434-4898-4406-93E9-3A3FCAC638B3}" keepAlive="1" name="Consulta - españa" description="Conexión a la consulta 'españa' en el libro." type="5" refreshedVersion="7" background="1" saveData="1">
    <dbPr connection="Provider=Microsoft.Mashup.OleDb.1;Data Source=$Workbook$;Location=españa;Extended Properties=&quot;&quot;" command="SELECT * FROM [españa]"/>
  </connection>
  <connection id="2" xr16:uid="{AB4282E3-B742-4C6B-BA62-9001E6918FAA}" keepAlive="1" name="Consulta - evo_interanual_venta_vivienda_nueva" description="Conexión a la consulta 'evo_interanual_venta_vivienda_nueva' en el libro." type="5" refreshedVersion="7" background="1" saveData="1">
    <dbPr connection="Provider=Microsoft.Mashup.OleDb.1;Data Source=$Workbook$;Location=evo_interanual_venta_vivienda_nueva;Extended Properties=&quot;&quot;" command="SELECT * FROM [evo_interanual_venta_vivienda_nueva]"/>
  </connection>
  <connection id="3" xr16:uid="{CB5047B2-7510-44D8-809B-B25A0DE26108}" keepAlive="1" name="Consulta - evo_interanual_venta_vivienda_usada" description="Conexión a la consulta 'evo_interanual_venta_vivienda_usada' en el libro." type="5" refreshedVersion="7" background="1" saveData="1">
    <dbPr connection="Provider=Microsoft.Mashup.OleDb.1;Data Source=$Workbook$;Location=evo_interanual_venta_vivienda_usada;Extended Properties=&quot;&quot;" command="SELECT * FROM [evo_interanual_venta_vivienda_usada]"/>
  </connection>
  <connection id="4" xr16:uid="{1FDE744F-F5C3-44D8-96E1-96092C79AB55}" keepAlive="1" name="Consulta - evolucion_de_la_compraventa_act" description="Conexión a la consulta 'evolucion_de_la_compraventa_act' en el libro." type="5" refreshedVersion="7" background="1" saveData="1">
    <dbPr connection="Provider=Microsoft.Mashup.OleDb.1;Data Source=$Workbook$;Location=evolucion_de_la_compraventa_act;Extended Properties=&quot;&quot;" command="SELECT * FROM [evolucion_de_la_compraventa_act]"/>
  </connection>
  <connection id="5" xr16:uid="{F1188121-5058-484A-98A2-D4FBFFD341C9}" keepAlive="1" name="Consulta - evolucion_del_20_al_24" description="Conexión a la consulta 'evolucion_del_20_al_24' en el libro." type="5" refreshedVersion="7" background="1" saveData="1">
    <dbPr connection="Provider=Microsoft.Mashup.OleDb.1;Data Source=$Workbook$;Location=evolucion_del_20_al_24;Extended Properties=&quot;&quot;" command="SELECT * FROM [evolucion_del_20_al_24]"/>
  </connection>
  <connection id="6" xr16:uid="{554B3B67-3AB1-4F1E-89B4-61014BDD66D6}" keepAlive="1" name="Consulta - Precio_mts2" description="Conexión a la consulta 'Precio_mts2' en el libro." type="5" refreshedVersion="7" background="1" saveData="1">
    <dbPr connection="Provider=Microsoft.Mashup.OleDb.1;Data Source=$Workbook$;Location=Precio_mts2;Extended Properties=&quot;&quot;" command="SELECT * FROM [Precio_mts2]"/>
  </connection>
</connections>
</file>

<file path=xl/sharedStrings.xml><?xml version="1.0" encoding="utf-8"?>
<sst xmlns="http://schemas.openxmlformats.org/spreadsheetml/2006/main" count="357" uniqueCount="40">
  <si>
    <t>Año</t>
  </si>
  <si>
    <t>Período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</si>
  <si>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</si>
  <si>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</si>
  <si>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</si>
  <si>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</si>
  <si>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</si>
  <si>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</si>
  <si>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</si>
  <si>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</si>
  <si>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</si>
  <si>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</si>
  <si>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</si>
  <si>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</si>
  <si>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España</t>
  </si>
  <si>
    <t>C. Valenciana</t>
  </si>
  <si>
    <t>Promedio de españoles</t>
  </si>
  <si>
    <t>Evo_compra</t>
  </si>
  <si>
    <t>valor_mt2</t>
  </si>
  <si>
    <t>Regíon</t>
  </si>
  <si>
    <t>Evol_precio_V</t>
  </si>
  <si>
    <t>null</t>
  </si>
  <si>
    <t>Etiquetas de fila</t>
  </si>
  <si>
    <t>Total general</t>
  </si>
  <si>
    <t>Etiquetas de columna</t>
  </si>
  <si>
    <t>Suma de Evo_compra</t>
  </si>
  <si>
    <t>Suma de valor_mt2</t>
  </si>
  <si>
    <t>Suma de Promedio de españoles</t>
  </si>
  <si>
    <t>V.Nueva</t>
  </si>
  <si>
    <t>V.Usada</t>
  </si>
  <si>
    <t>Evol. Precio Vivienda</t>
  </si>
  <si>
    <t>Evolucion de la Compra</t>
  </si>
  <si>
    <t>Mes Mayor Venta</t>
  </si>
  <si>
    <t>Mes Menor Venta</t>
  </si>
  <si>
    <t>Max Valor mts2</t>
  </si>
  <si>
    <t>Min Valor mts2</t>
  </si>
  <si>
    <t>Total  V.Nueva</t>
  </si>
  <si>
    <t xml:space="preserve"> V.Nueva</t>
  </si>
  <si>
    <t>Total V. Usada</t>
  </si>
  <si>
    <t>V. Usada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</si>
</sst>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164" formatCode="0.0&quot;%&quot;"/>
    <numFmt numFmtId="165" formatCode="#,##0.00\ &quot;€&quot;"/>
    <numFmt numFmtId="166" formatCode="0.00&quot;%&quot;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CC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rgb="FF00CC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FE320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36"/>
      <color theme="1"/>
      <name val="Century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00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9" tint="0.39997558519241921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6" fillId="0" borderId="0" xfId="0" applyFont="1" applyAlignment="1">
      <alignment horizontal="right" vertical="center" readingOrder="1"/>
    </xf>
    <xf numFmtId="0" fontId="7" fillId="0" borderId="0" xfId="0" applyFont="1" applyAlignment="1">
      <alignment horizontal="center" vertical="center" readingOrder="1"/>
    </xf>
    <xf numFmtId="0" fontId="5" fillId="2" borderId="0" xfId="0" applyFont="1" applyFill="1"/>
    <xf numFmtId="0" fontId="0" fillId="0" borderId="0" xfId="0" applyNumberFormat="1"/>
    <xf numFmtId="0" fontId="1" fillId="2" borderId="1" xfId="0" applyFont="1" applyFill="1" applyBorder="1"/>
    <xf numFmtId="0" fontId="1" fillId="2" borderId="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4" fontId="0" fillId="0" borderId="0" xfId="0" applyNumberFormat="1"/>
    <xf numFmtId="0" fontId="0" fillId="0" borderId="5" xfId="0" applyBorder="1"/>
    <xf numFmtId="44" fontId="0" fillId="0" borderId="0" xfId="0" applyNumberFormat="1"/>
    <xf numFmtId="0" fontId="13" fillId="0" borderId="0" xfId="0" applyFont="1"/>
    <xf numFmtId="0" fontId="0" fillId="0" borderId="0" xfId="0" applyProtection="1">
      <protection locked="0" hidden="1"/>
    </xf>
    <xf numFmtId="0" fontId="0" fillId="0" borderId="0" xfId="0" applyProtection="1">
      <protection locked="0"/>
    </xf>
    <xf numFmtId="0" fontId="0" fillId="3" borderId="0" xfId="0" applyFill="1"/>
    <xf numFmtId="3" fontId="0" fillId="3" borderId="3" xfId="0" applyNumberFormat="1" applyFont="1" applyFill="1" applyBorder="1"/>
    <xf numFmtId="165" fontId="0" fillId="3" borderId="1" xfId="0" applyNumberFormat="1" applyFill="1" applyBorder="1"/>
    <xf numFmtId="164" fontId="0" fillId="3" borderId="2" xfId="0" applyNumberFormat="1" applyFill="1" applyBorder="1"/>
    <xf numFmtId="164" fontId="0" fillId="3" borderId="1" xfId="0" applyNumberFormat="1" applyFill="1" applyBorder="1"/>
    <xf numFmtId="0" fontId="0" fillId="3" borderId="0" xfId="0" applyFill="1" applyAlignment="1">
      <alignment horizontal="right"/>
    </xf>
    <xf numFmtId="3" fontId="0" fillId="3" borderId="4" xfId="0" applyNumberFormat="1" applyFont="1" applyFill="1" applyBorder="1"/>
    <xf numFmtId="3" fontId="0" fillId="3" borderId="10" xfId="0" applyNumberFormat="1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164" fontId="0" fillId="3" borderId="10" xfId="0" applyNumberFormat="1" applyFill="1" applyBorder="1" applyAlignment="1">
      <alignment horizontal="right"/>
    </xf>
    <xf numFmtId="164" fontId="0" fillId="3" borderId="12" xfId="1" applyNumberFormat="1" applyFont="1" applyFill="1" applyBorder="1" applyAlignment="1">
      <alignment horizontal="right"/>
    </xf>
    <xf numFmtId="3" fontId="0" fillId="4" borderId="10" xfId="0" applyNumberFormat="1" applyFill="1" applyBorder="1" applyAlignment="1">
      <alignment horizontal="right"/>
    </xf>
    <xf numFmtId="44" fontId="0" fillId="4" borderId="10" xfId="0" applyNumberFormat="1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164" fontId="0" fillId="4" borderId="10" xfId="0" applyNumberFormat="1" applyFill="1" applyBorder="1" applyAlignment="1">
      <alignment horizontal="right"/>
    </xf>
    <xf numFmtId="164" fontId="0" fillId="4" borderId="12" xfId="1" applyNumberFormat="1" applyFont="1" applyFill="1" applyBorder="1" applyAlignment="1">
      <alignment horizontal="right"/>
    </xf>
    <xf numFmtId="44" fontId="0" fillId="3" borderId="10" xfId="0" applyNumberFormat="1" applyFill="1" applyBorder="1" applyAlignment="1">
      <alignment horizontal="right"/>
    </xf>
    <xf numFmtId="0" fontId="0" fillId="3" borderId="0" xfId="0" applyFill="1" applyBorder="1"/>
    <xf numFmtId="3" fontId="0" fillId="3" borderId="1" xfId="0" applyNumberFormat="1" applyFont="1" applyFill="1" applyBorder="1"/>
    <xf numFmtId="164" fontId="0" fillId="3" borderId="12" xfId="0" applyNumberFormat="1" applyFill="1" applyBorder="1" applyAlignment="1">
      <alignment horizontal="right"/>
    </xf>
    <xf numFmtId="165" fontId="0" fillId="4" borderId="10" xfId="0" applyNumberFormat="1" applyFill="1" applyBorder="1" applyAlignment="1">
      <alignment horizontal="right"/>
    </xf>
    <xf numFmtId="164" fontId="0" fillId="4" borderId="12" xfId="0" applyNumberFormat="1" applyFill="1" applyBorder="1" applyAlignment="1">
      <alignment horizontal="right"/>
    </xf>
    <xf numFmtId="3" fontId="0" fillId="3" borderId="11" xfId="0" applyNumberFormat="1" applyFill="1" applyBorder="1" applyAlignment="1">
      <alignment horizontal="right"/>
    </xf>
    <xf numFmtId="165" fontId="0" fillId="3" borderId="11" xfId="0" applyNumberFormat="1" applyFill="1" applyBorder="1" applyAlignment="1">
      <alignment horizontal="right"/>
    </xf>
    <xf numFmtId="164" fontId="0" fillId="3" borderId="11" xfId="0" applyNumberFormat="1" applyFill="1" applyBorder="1" applyAlignment="1">
      <alignment horizontal="right"/>
    </xf>
    <xf numFmtId="164" fontId="0" fillId="3" borderId="13" xfId="0" applyNumberFormat="1" applyFill="1" applyBorder="1" applyAlignment="1">
      <alignment horizontal="right"/>
    </xf>
    <xf numFmtId="0" fontId="12" fillId="5" borderId="6" xfId="0" applyFont="1" applyFill="1" applyBorder="1" applyAlignment="1">
      <alignment horizontal="center"/>
    </xf>
    <xf numFmtId="0" fontId="11" fillId="5" borderId="6" xfId="0" applyFont="1" applyFill="1" applyBorder="1" applyAlignment="1">
      <alignment horizontal="center"/>
    </xf>
    <xf numFmtId="0" fontId="12" fillId="5" borderId="16" xfId="0" applyFont="1" applyFill="1" applyBorder="1" applyAlignment="1">
      <alignment horizontal="center"/>
    </xf>
    <xf numFmtId="0" fontId="11" fillId="5" borderId="17" xfId="0" applyFont="1" applyFill="1" applyBorder="1" applyAlignment="1">
      <alignment horizontal="center"/>
    </xf>
    <xf numFmtId="0" fontId="18" fillId="5" borderId="5" xfId="0" applyFont="1" applyFill="1" applyBorder="1" applyAlignment="1">
      <alignment horizontal="center"/>
    </xf>
    <xf numFmtId="0" fontId="17" fillId="5" borderId="8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165" fontId="14" fillId="5" borderId="14" xfId="0" applyNumberFormat="1" applyFont="1" applyFill="1" applyBorder="1" applyAlignment="1">
      <alignment horizontal="center"/>
    </xf>
    <xf numFmtId="165" fontId="16" fillId="5" borderId="9" xfId="0" applyNumberFormat="1" applyFont="1" applyFill="1" applyBorder="1" applyAlignment="1">
      <alignment horizontal="center"/>
    </xf>
    <xf numFmtId="0" fontId="9" fillId="5" borderId="7" xfId="0" applyFont="1" applyFill="1" applyBorder="1"/>
    <xf numFmtId="0" fontId="0" fillId="5" borderId="0" xfId="0" applyFill="1"/>
    <xf numFmtId="0" fontId="0" fillId="5" borderId="0" xfId="0" applyFill="1" applyProtection="1">
      <protection locked="0" hidden="1"/>
    </xf>
    <xf numFmtId="0" fontId="0" fillId="5" borderId="14" xfId="0" applyFill="1" applyBorder="1"/>
    <xf numFmtId="0" fontId="19" fillId="5" borderId="19" xfId="0" applyFont="1" applyFill="1" applyBorder="1" applyAlignment="1">
      <alignment horizontal="center"/>
    </xf>
    <xf numFmtId="0" fontId="19" fillId="5" borderId="18" xfId="0" applyFont="1" applyFill="1" applyBorder="1" applyAlignment="1">
      <alignment horizontal="center"/>
    </xf>
    <xf numFmtId="0" fontId="0" fillId="5" borderId="20" xfId="0" applyFill="1" applyBorder="1"/>
    <xf numFmtId="3" fontId="0" fillId="0" borderId="0" xfId="0" applyNumberFormat="1"/>
    <xf numFmtId="3" fontId="14" fillId="5" borderId="9" xfId="0" applyNumberFormat="1" applyFont="1" applyFill="1" applyBorder="1" applyAlignment="1">
      <alignment horizontal="center"/>
    </xf>
    <xf numFmtId="3" fontId="15" fillId="5" borderId="9" xfId="0" applyNumberFormat="1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1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.00\ &quot;€&quot;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theme="1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 outline="0">
        <right style="thin">
          <color indexed="64"/>
        </right>
      </border>
    </dxf>
    <dxf>
      <fill>
        <patternFill>
          <bgColor theme="0"/>
        </patternFill>
      </fill>
    </dxf>
    <dxf>
      <font>
        <b/>
        <i val="0"/>
        <u val="none"/>
        <sz val="10"/>
        <name val="Calibri Light"/>
        <family val="2"/>
        <scheme val="major"/>
      </font>
      <fill>
        <patternFill>
          <fgColor rgb="FFFF0000"/>
          <bgColor rgb="FFFE3202"/>
        </patternFill>
      </fill>
      <border diagonalDown="1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diagonal style="medium">
          <color auto="1"/>
        </diagonal>
      </border>
    </dxf>
    <dxf>
      <font>
        <b/>
        <i val="0"/>
        <sz val="12"/>
        <color theme="1"/>
        <name val="Calibri Light"/>
        <family val="2"/>
        <scheme val="major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3" defaultTableStyle="TableStyleMedium2" defaultPivotStyle="PivotStyleLight16">
    <tableStyle name="Estilo de segmentación de datos 1" pivot="0" table="0" count="0" xr9:uid="{690D4948-09AB-44AB-9FF7-48F2D2CE8292}"/>
    <tableStyle name="Estilo de segmentación de datos 2" pivot="0" table="0" count="1" xr9:uid="{EE64139C-FE6C-4874-9BFF-D78451932850}">
      <tableStyleElement type="wholeTable" dxfId="12"/>
    </tableStyle>
    <tableStyle name="Estilo de segmentación de datos 3" pivot="0" table="0" count="1" xr9:uid="{31C235E7-6F76-4A3B-AD4D-9A6A39A07897}">
      <tableStyleElement type="wholeTable" dxfId="11"/>
    </tableStyle>
  </tableStyles>
  <colors>
    <mruColors>
      <color rgb="FF00FFFF"/>
      <color rgb="FFFFCC00"/>
      <color rgb="FFFE3202"/>
      <color rgb="FF00CC00"/>
      <color rgb="FF00FF99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</a:t>
            </a:r>
            <a:r>
              <a:rPr lang="en-US" baseline="0"/>
              <a:t> Viviendas</a:t>
            </a:r>
            <a:endParaRPr lang="en-US"/>
          </a:p>
        </c:rich>
      </c:tx>
      <c:layout>
        <c:manualLayout>
          <c:xMode val="edge"/>
          <c:yMode val="edge"/>
          <c:x val="0.32953505811773526"/>
          <c:y val="2.73597811217510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Dashboard!$B$4:$B$5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Dashboard!$A$6:$A$18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Dashboard!$B$6:$B$18</c:f>
              <c:numCache>
                <c:formatCode>#,##0</c:formatCode>
                <c:ptCount val="12"/>
                <c:pt idx="0">
                  <c:v>52902</c:v>
                </c:pt>
                <c:pt idx="1">
                  <c:v>53739</c:v>
                </c:pt>
                <c:pt idx="2">
                  <c:v>59158</c:v>
                </c:pt>
                <c:pt idx="3">
                  <c:v>47139</c:v>
                </c:pt>
                <c:pt idx="4">
                  <c:v>59984</c:v>
                </c:pt>
                <c:pt idx="5">
                  <c:v>57686</c:v>
                </c:pt>
                <c:pt idx="6">
                  <c:v>53987</c:v>
                </c:pt>
                <c:pt idx="7">
                  <c:v>57548</c:v>
                </c:pt>
                <c:pt idx="8">
                  <c:v>57757</c:v>
                </c:pt>
                <c:pt idx="9">
                  <c:v>51628</c:v>
                </c:pt>
                <c:pt idx="10">
                  <c:v>55245</c:v>
                </c:pt>
                <c:pt idx="11">
                  <c:v>43492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6-4073-A111-8049C63C5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5596528"/>
        <c:axId val="1275596112"/>
      </c:barChart>
      <c:catAx>
        <c:axId val="127559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5596112"/>
        <c:crosses val="autoZero"/>
        <c:auto val="1"/>
        <c:lblAlgn val="ctr"/>
        <c:lblOffset val="100"/>
        <c:noMultiLvlLbl val="0"/>
      </c:catAx>
      <c:valAx>
        <c:axId val="127559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559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Precio</a:t>
            </a:r>
            <a:r>
              <a:rPr lang="en-US" baseline="0"/>
              <a:t> mts2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Dashboard!$B$21:$B$22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Dashboard!$A$23:$A$35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Dashboard!$B$23:$B$35</c:f>
              <c:numCache>
                <c:formatCode>_("€"* #,##0.00_);_("€"* \(#,##0.00\);_("€"* "-"??_);_(@_)</c:formatCode>
                <c:ptCount val="12"/>
                <c:pt idx="0">
                  <c:v>1651</c:v>
                </c:pt>
                <c:pt idx="1">
                  <c:v>1578</c:v>
                </c:pt>
                <c:pt idx="2">
                  <c:v>1622</c:v>
                </c:pt>
                <c:pt idx="3">
                  <c:v>1607</c:v>
                </c:pt>
                <c:pt idx="4">
                  <c:v>1604</c:v>
                </c:pt>
                <c:pt idx="5">
                  <c:v>1644</c:v>
                </c:pt>
                <c:pt idx="6">
                  <c:v>1695</c:v>
                </c:pt>
                <c:pt idx="7">
                  <c:v>1498</c:v>
                </c:pt>
                <c:pt idx="8">
                  <c:v>1660</c:v>
                </c:pt>
                <c:pt idx="9">
                  <c:v>1605</c:v>
                </c:pt>
                <c:pt idx="10">
                  <c:v>1570</c:v>
                </c:pt>
                <c:pt idx="11">
                  <c:v>1594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C-409A-8F8D-FD628B13E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5737840"/>
        <c:axId val="1775738256"/>
      </c:barChart>
      <c:catAx>
        <c:axId val="177573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5738256"/>
        <c:crosses val="autoZero"/>
        <c:auto val="1"/>
        <c:lblAlgn val="ctr"/>
        <c:lblOffset val="100"/>
        <c:noMultiLvlLbl val="0"/>
      </c:catAx>
      <c:valAx>
        <c:axId val="177573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573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5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Evolución Preocupación</a:t>
            </a:r>
            <a:r>
              <a:rPr lang="en-US" sz="2000" b="1" baseline="0">
                <a:solidFill>
                  <a:schemeClr val="tx1"/>
                </a:solidFill>
              </a:rPr>
              <a:t> por la vivienda</a:t>
            </a:r>
            <a:endParaRPr lang="en-US" sz="20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2305567067274485"/>
          <c:y val="1.3736263736263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spc="5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3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4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6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7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8"/>
        <c:spPr>
          <a:solidFill>
            <a:srgbClr val="00206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9"/>
      </c:pivotFmt>
    </c:pivotFmts>
    <c:plotArea>
      <c:layout>
        <c:manualLayout>
          <c:layoutTarget val="inner"/>
          <c:xMode val="edge"/>
          <c:yMode val="edge"/>
          <c:x val="0.23127393797997473"/>
          <c:y val="0.25929847711343773"/>
          <c:w val="0.72768883056284628"/>
          <c:h val="0.657376121254073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Dashboard!$B$38:$B$39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862-4728-8929-E7E792C257B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862-4728-8929-E7E792C257B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862-4728-8929-E7E792C257B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0862-4728-8929-E7E792C257B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862-4728-8929-E7E792C257B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0862-4728-8929-E7E792C257B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862-4728-8929-E7E792C257B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0862-4728-8929-E7E792C257B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0862-4728-8929-E7E792C257B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0862-4728-8929-E7E792C257B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0862-4728-8929-E7E792C257B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0862-4728-8929-E7E792C257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Dashboard!$A$40:$A$52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Dashboard!$B$40:$B$52</c:f>
              <c:numCache>
                <c:formatCode>0.0"%"</c:formatCode>
                <c:ptCount val="12"/>
                <c:pt idx="0">
                  <c:v>2.1</c:v>
                </c:pt>
                <c:pt idx="1">
                  <c:v>3.6</c:v>
                </c:pt>
                <c:pt idx="2">
                  <c:v>2.4</c:v>
                </c:pt>
                <c:pt idx="3">
                  <c:v>1.8</c:v>
                </c:pt>
                <c:pt idx="4">
                  <c:v>3</c:v>
                </c:pt>
                <c:pt idx="5">
                  <c:v>2.1</c:v>
                </c:pt>
                <c:pt idx="6">
                  <c:v>2.1</c:v>
                </c:pt>
                <c:pt idx="7">
                  <c:v>0</c:v>
                </c:pt>
                <c:pt idx="8">
                  <c:v>3.1</c:v>
                </c:pt>
                <c:pt idx="9">
                  <c:v>2.9</c:v>
                </c:pt>
                <c:pt idx="10">
                  <c:v>2.5</c:v>
                </c:pt>
                <c:pt idx="11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F-4970-A3ED-A19EED18411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90298191"/>
        <c:axId val="1790300687"/>
      </c:barChart>
      <c:valAx>
        <c:axId val="17903006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%&quot;" sourceLinked="1"/>
        <c:majorTickMark val="out"/>
        <c:minorTickMark val="none"/>
        <c:tickLblPos val="nextTo"/>
        <c:crossAx val="1790298191"/>
        <c:crosses val="autoZero"/>
        <c:crossBetween val="between"/>
      </c:valAx>
      <c:catAx>
        <c:axId val="1790298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903006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b="1" i="0" baseline="0">
                <a:solidFill>
                  <a:schemeClr val="tx1"/>
                </a:solidFill>
              </a:rPr>
              <a:t>Evolución Precio Vivienda</a:t>
            </a:r>
          </a:p>
        </c:rich>
      </c:tx>
      <c:layout>
        <c:manualLayout>
          <c:xMode val="edge"/>
          <c:yMode val="edge"/>
          <c:x val="0.12164976135908083"/>
          <c:y val="2.19876868953386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55524550186234E-2"/>
          <c:y val="0.22067119578390432"/>
          <c:w val="0.76772159065632972"/>
          <c:h val="0.47873634858967168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Dashboard!$B$55:$B$56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Dashboard!$A$57:$A$69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Dashboard!$B$57:$B$69</c:f>
              <c:numCache>
                <c:formatCode>0.00"%"</c:formatCode>
                <c:ptCount val="12"/>
                <c:pt idx="0">
                  <c:v>8.5399999999999991</c:v>
                </c:pt>
                <c:pt idx="1">
                  <c:v>8.5399999999999991</c:v>
                </c:pt>
                <c:pt idx="2">
                  <c:v>8.5399999999999991</c:v>
                </c:pt>
                <c:pt idx="3">
                  <c:v>8.02</c:v>
                </c:pt>
                <c:pt idx="4">
                  <c:v>8.02</c:v>
                </c:pt>
                <c:pt idx="5">
                  <c:v>8.02</c:v>
                </c:pt>
                <c:pt idx="6">
                  <c:v>7.64</c:v>
                </c:pt>
                <c:pt idx="7">
                  <c:v>7.64</c:v>
                </c:pt>
                <c:pt idx="8">
                  <c:v>7.64</c:v>
                </c:pt>
                <c:pt idx="9">
                  <c:v>5.45</c:v>
                </c:pt>
                <c:pt idx="10">
                  <c:v>5.45</c:v>
                </c:pt>
                <c:pt idx="11">
                  <c:v>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0-4CB3-8FA9-6ED3F5790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614960"/>
        <c:axId val="2126616208"/>
      </c:lineChart>
      <c:catAx>
        <c:axId val="212661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6616208"/>
        <c:crosses val="autoZero"/>
        <c:auto val="1"/>
        <c:lblAlgn val="ctr"/>
        <c:lblOffset val="100"/>
        <c:noMultiLvlLbl val="0"/>
      </c:catAx>
      <c:valAx>
        <c:axId val="212661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661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40168826158978"/>
          <c:y val="0.86091524179530332"/>
          <c:w val="0.55125786163522017"/>
          <c:h val="0.11269937411669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[Dashbord Final.xlsx.xlsm]Dashboard!TablaDinámica9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baseline="0">
                <a:solidFill>
                  <a:schemeClr val="tx1"/>
                </a:solidFill>
                <a:effectLst/>
              </a:rPr>
              <a:t>Evolución Precio Vivienda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chemeClr val="tx1"/>
                </a:solidFill>
              </a:defRPr>
            </a:pPr>
            <a:r>
              <a:rPr lang="es-ES" sz="1400" b="1" i="0" baseline="0">
                <a:solidFill>
                  <a:schemeClr val="tx1"/>
                </a:solidFill>
                <a:effectLst/>
              </a:rPr>
              <a:t>Nueva/Usada</a:t>
            </a:r>
            <a:endParaRPr lang="es-ES" sz="1400" b="1">
              <a:solidFill>
                <a:schemeClr val="tx1"/>
              </a:solidFill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chemeClr val="tx1"/>
                </a:solidFill>
              </a:defRPr>
            </a:pPr>
            <a:endParaRPr lang="es-ES" sz="14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461504811898512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00206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609045962277973E-2"/>
          <c:y val="0.17022240640972511"/>
          <c:w val="0.88385564304461939"/>
          <c:h val="0.53328291200442057"/>
        </c:manualLayout>
      </c:layout>
      <c:lineChart>
        <c:grouping val="standard"/>
        <c:varyColors val="0"/>
        <c:ser>
          <c:idx val="0"/>
          <c:order val="0"/>
          <c:tx>
            <c:strRef>
              <c:f>Dashboard!$B$73:$B$75</c:f>
              <c:strCache>
                <c:ptCount val="1"/>
                <c:pt idx="0">
                  <c:v>2022 -  V.Nueva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Dashboard!$A$76:$A$88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Dashboard!$B$76:$B$88</c:f>
              <c:numCache>
                <c:formatCode>General</c:formatCode>
                <c:ptCount val="12"/>
                <c:pt idx="0">
                  <c:v>10.08</c:v>
                </c:pt>
                <c:pt idx="1">
                  <c:v>10.08</c:v>
                </c:pt>
                <c:pt idx="2">
                  <c:v>10.08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6.8</c:v>
                </c:pt>
                <c:pt idx="7">
                  <c:v>6.8</c:v>
                </c:pt>
                <c:pt idx="8">
                  <c:v>6.8</c:v>
                </c:pt>
                <c:pt idx="9">
                  <c:v>6.16</c:v>
                </c:pt>
                <c:pt idx="10">
                  <c:v>6.16</c:v>
                </c:pt>
                <c:pt idx="11">
                  <c:v>6.16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EC-4926-979B-6B1DAFCB2A4B}"/>
            </c:ext>
          </c:extLst>
        </c:ser>
        <c:ser>
          <c:idx val="1"/>
          <c:order val="1"/>
          <c:tx>
            <c:strRef>
              <c:f>Dashboard!$C$73:$C$75</c:f>
              <c:strCache>
                <c:ptCount val="1"/>
                <c:pt idx="0">
                  <c:v>2022 - V. Usada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Dashboard!$A$76:$A$88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Dashboard!$C$76:$C$88</c:f>
              <c:numCache>
                <c:formatCode>General</c:formatCode>
                <c:ptCount val="12"/>
                <c:pt idx="0">
                  <c:v>8.2100000000000009</c:v>
                </c:pt>
                <c:pt idx="1">
                  <c:v>8.2100000000000009</c:v>
                </c:pt>
                <c:pt idx="2">
                  <c:v>8.2100000000000009</c:v>
                </c:pt>
                <c:pt idx="3">
                  <c:v>7.86</c:v>
                </c:pt>
                <c:pt idx="4">
                  <c:v>7.86</c:v>
                </c:pt>
                <c:pt idx="5">
                  <c:v>7.86</c:v>
                </c:pt>
                <c:pt idx="6">
                  <c:v>7.83</c:v>
                </c:pt>
                <c:pt idx="7">
                  <c:v>7.83</c:v>
                </c:pt>
                <c:pt idx="8">
                  <c:v>7.83</c:v>
                </c:pt>
                <c:pt idx="9">
                  <c:v>5.3</c:v>
                </c:pt>
                <c:pt idx="10">
                  <c:v>5.3</c:v>
                </c:pt>
                <c:pt idx="11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C-4616-99C4-D112F2A5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515312"/>
        <c:axId val="2124509488"/>
      </c:lineChart>
      <c:catAx>
        <c:axId val="212451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4509488"/>
        <c:crosses val="autoZero"/>
        <c:auto val="1"/>
        <c:lblAlgn val="ctr"/>
        <c:lblOffset val="100"/>
        <c:noMultiLvlLbl val="0"/>
      </c:catAx>
      <c:valAx>
        <c:axId val="212450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%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24515312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101334208223971"/>
          <c:y val="0.83576582725920867"/>
          <c:w val="0.73262351323167141"/>
          <c:h val="0.164234355573974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4</xdr:row>
      <xdr:rowOff>15240</xdr:rowOff>
    </xdr:from>
    <xdr:to>
      <xdr:col>9</xdr:col>
      <xdr:colOff>556260</xdr:colOff>
      <xdr:row>19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41910</xdr:rowOff>
    </xdr:from>
    <xdr:to>
      <xdr:col>9</xdr:col>
      <xdr:colOff>533400</xdr:colOff>
      <xdr:row>35</xdr:row>
      <xdr:rowOff>15240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1455420</xdr:colOff>
      <xdr:row>15</xdr:row>
      <xdr:rowOff>15240</xdr:rowOff>
    </xdr:from>
    <xdr:to>
      <xdr:col>12</xdr:col>
      <xdr:colOff>1280160</xdr:colOff>
      <xdr:row>19</xdr:row>
      <xdr:rowOff>39720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Regíon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í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2160" y="2887980"/>
              <a:ext cx="2202180" cy="7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9</xdr:col>
      <xdr:colOff>563880</xdr:colOff>
      <xdr:row>4</xdr:row>
      <xdr:rowOff>15240</xdr:rowOff>
    </xdr:from>
    <xdr:to>
      <xdr:col>11</xdr:col>
      <xdr:colOff>1455420</xdr:colOff>
      <xdr:row>19</xdr:row>
      <xdr:rowOff>38100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1333499</xdr:colOff>
      <xdr:row>9</xdr:row>
      <xdr:rowOff>167639</xdr:rowOff>
    </xdr:from>
    <xdr:to>
      <xdr:col>13</xdr:col>
      <xdr:colOff>1379218</xdr:colOff>
      <xdr:row>10</xdr:row>
      <xdr:rowOff>30478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 flipH="1" flipV="1">
          <a:off x="12390119" y="1630679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100"/>
        </a:p>
      </xdr:txBody>
    </xdr:sp>
    <xdr:clientData/>
  </xdr:twoCellAnchor>
  <xdr:twoCellAnchor>
    <xdr:from>
      <xdr:col>9</xdr:col>
      <xdr:colOff>518160</xdr:colOff>
      <xdr:row>19</xdr:row>
      <xdr:rowOff>45720</xdr:rowOff>
    </xdr:from>
    <xdr:to>
      <xdr:col>10</xdr:col>
      <xdr:colOff>2179320</xdr:colOff>
      <xdr:row>35</xdr:row>
      <xdr:rowOff>7620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19</xdr:row>
      <xdr:rowOff>38100</xdr:rowOff>
    </xdr:from>
    <xdr:to>
      <xdr:col>12</xdr:col>
      <xdr:colOff>1295400</xdr:colOff>
      <xdr:row>35</xdr:row>
      <xdr:rowOff>7620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7620</xdr:colOff>
      <xdr:row>0</xdr:row>
      <xdr:rowOff>0</xdr:rowOff>
    </xdr:from>
    <xdr:to>
      <xdr:col>11</xdr:col>
      <xdr:colOff>1920240</xdr:colOff>
      <xdr:row>4</xdr:row>
      <xdr:rowOff>15240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360" y="0"/>
          <a:ext cx="1912620" cy="1440180"/>
        </a:xfrm>
        <a:prstGeom prst="rect">
          <a:avLst/>
        </a:prstGeom>
      </xdr:spPr>
    </xdr:pic>
    <xdr:clientData/>
  </xdr:twoCellAnchor>
  <xdr:twoCellAnchor editAs="oneCell">
    <xdr:from>
      <xdr:col>11</xdr:col>
      <xdr:colOff>1927860</xdr:colOff>
      <xdr:row>0</xdr:row>
      <xdr:rowOff>7620</xdr:rowOff>
    </xdr:from>
    <xdr:to>
      <xdr:col>13</xdr:col>
      <xdr:colOff>7620</xdr:colOff>
      <xdr:row>4</xdr:row>
      <xdr:rowOff>45720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4600" y="7620"/>
          <a:ext cx="1737360" cy="1463040"/>
        </a:xfrm>
        <a:prstGeom prst="rect">
          <a:avLst/>
        </a:prstGeom>
      </xdr:spPr>
    </xdr:pic>
    <xdr:clientData/>
  </xdr:twoCellAnchor>
  <xdr:twoCellAnchor>
    <xdr:from>
      <xdr:col>6</xdr:col>
      <xdr:colOff>7620</xdr:colOff>
      <xdr:row>2</xdr:row>
      <xdr:rowOff>7620</xdr:rowOff>
    </xdr:from>
    <xdr:to>
      <xdr:col>7</xdr:col>
      <xdr:colOff>7620</xdr:colOff>
      <xdr:row>4</xdr:row>
      <xdr:rowOff>0</xdr:rowOff>
    </xdr:to>
    <xdr:sp macro="" textlink="B18:G18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860" y="251460"/>
          <a:ext cx="1775460" cy="533400"/>
        </a:xfrm>
        <a:prstGeom prst="rect">
          <a:avLst/>
        </a:prstGeom>
        <a:solidFill>
          <a:srgbClr val="00FFFF"/>
        </a:solidFill>
        <a:ln w="31750">
          <a:solidFill>
            <a:schemeClr val="tx1"/>
          </a:solidFill>
        </a:ln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90460AA-3469-40CC-84E6-906A3C73DBE4}" type="TxLink">
            <a:rPr lang="en-US" sz="28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650.265</a:t>
          </a:fld>
          <a:endParaRPr lang="es-ES" sz="54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1470660</xdr:colOff>
          <xdr:row>4</xdr:row>
          <xdr:rowOff>22860</xdr:rowOff>
        </xdr:from>
        <xdr:to>
          <xdr:col>12</xdr:col>
          <xdr:colOff>1272540</xdr:colOff>
          <xdr:row>7</xdr:row>
          <xdr:rowOff>68580</xdr:rowOff>
        </xdr:to>
        <xdr:sp macro="" textlink="">
          <xdr:nvSpPr>
            <xdr:cNvPr id="2051" name="ToggleButton1" descr="jbsakba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1463040</xdr:colOff>
      <xdr:row>7</xdr:row>
      <xdr:rowOff>106680</xdr:rowOff>
    </xdr:from>
    <xdr:to>
      <xdr:col>12</xdr:col>
      <xdr:colOff>1272540</xdr:colOff>
      <xdr:row>15</xdr:row>
      <xdr:rowOff>15240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ño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9780" y="2087880"/>
              <a:ext cx="218694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0.4162</cdr:x>
      <cdr:y>0.33333</cdr:y>
    </cdr:from>
    <cdr:to>
      <cdr:x>0.5838</cdr:x>
      <cdr:y>0.66667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07573FE3-3227-4404-A7A1-32342AE13EA6}"/>
            </a:ext>
          </a:extLst>
        </cdr:cNvPr>
        <cdr:cNvSpPr txBox="1"/>
      </cdr:nvSpPr>
      <cdr:spPr>
        <a:xfrm xmlns:a="http://schemas.openxmlformats.org/drawingml/2006/main">
          <a:off x="2270760" y="9144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710.816829629628" createdVersion="7" refreshedVersion="7" minRefreshableVersion="3" recordCount="120" xr:uid="{2C1820F5-18AC-405E-9BBC-4D0087211FA0}">
  <cacheSource type="worksheet">
    <worksheetSource name="Tabla10"/>
  </cacheSource>
  <cacheFields count="9">
    <cacheField name="Año" numFmtId="0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  <cacheField name="Período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Regíon" numFmtId="0">
      <sharedItems count="2">
        <s v="C. Valenciana"/>
        <s v="España"/>
      </sharedItems>
    </cacheField>
    <cacheField name="Evo_compra" numFmtId="3">
      <sharedItems containsSemiMixedTypes="0" containsString="0" containsNumber="1" containsInteger="1" minValue="2831" maxValue="69418"/>
    </cacheField>
    <cacheField name="valor_mt2" numFmtId="0">
      <sharedItems containsSemiMixedTypes="0" containsString="0" containsNumber="1" minValue="1054.49" maxValue="1813"/>
    </cacheField>
    <cacheField name="Promedio de españoles" numFmtId="0">
      <sharedItems containsMixedTypes="1" containsNumber="1" minValue="0.1" maxValue="22.7" count="44">
        <n v="2.6"/>
        <n v="1.7"/>
        <n v="2.8"/>
        <s v="null"/>
        <n v="0.1"/>
        <n v="0.8"/>
        <n v="1.2"/>
        <n v="1.1000000000000001"/>
        <n v="0.6"/>
        <n v="1.4"/>
        <n v="1.5"/>
        <n v="0.9"/>
        <n v="1.9"/>
        <n v="4.4000000000000004"/>
        <n v="2.4"/>
        <n v="2"/>
        <n v="2.1"/>
        <n v="3.6"/>
        <n v="1.8"/>
        <n v="3"/>
        <n v="3.1"/>
        <n v="2.9"/>
        <n v="2.5"/>
        <n v="4.0999999999999996"/>
        <n v="3.4"/>
        <n v="4.7"/>
        <n v="6.7"/>
        <n v="11.5"/>
        <n v="13.3"/>
        <n v="10"/>
        <n v="6.4"/>
        <n v="7.5"/>
        <n v="5.5"/>
        <n v="7.3"/>
        <n v="7.9"/>
        <n v="9.1"/>
        <n v="9.5"/>
        <n v="12"/>
        <n v="21.2"/>
        <n v="13.1"/>
        <n v="15.4"/>
        <n v="22.7"/>
        <n v="22.5"/>
        <n v="22.3"/>
      </sharedItems>
    </cacheField>
    <cacheField name="Evol_precio_V" numFmtId="164">
      <sharedItems containsSemiMixedTypes="0" containsString="0" containsNumber="1" minValue="0.9" maxValue="8.94"/>
    </cacheField>
    <cacheField name="V.Nueva" numFmtId="164">
      <sharedItems containsSemiMixedTypes="0" containsString="0" containsNumber="1" minValue="1.22" maxValue="11.69"/>
    </cacheField>
    <cacheField name="V.Usada" numFmtId="164">
      <sharedItems containsSemiMixedTypes="0" containsString="0" containsNumber="1" minValue="0.4" maxValue="9.1999999999999993"/>
    </cacheField>
  </cacheFields>
  <extLst>
    <ext xmlns:x14="http://schemas.microsoft.com/office/spreadsheetml/2009/9/main" uri="{725AE2AE-9491-48be-B2B4-4EB974FC3084}">
      <x14:pivotCacheDefinition pivotCacheId="48039069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x v="0"/>
    <x v="0"/>
    <n v="6586"/>
    <n v="1161.56"/>
    <x v="0"/>
    <n v="3.51"/>
    <n v="5.7"/>
    <n v="3.12"/>
  </r>
  <r>
    <x v="0"/>
    <x v="1"/>
    <x v="0"/>
    <n v="6730"/>
    <n v="1102.44"/>
    <x v="1"/>
    <n v="3.51"/>
    <n v="5.7"/>
    <n v="3.12"/>
  </r>
  <r>
    <x v="0"/>
    <x v="2"/>
    <x v="0"/>
    <n v="5201"/>
    <n v="1097.8699999999999"/>
    <x v="2"/>
    <n v="3.51"/>
    <n v="5.7"/>
    <n v="3.12"/>
  </r>
  <r>
    <x v="0"/>
    <x v="3"/>
    <x v="0"/>
    <n v="3941"/>
    <n v="1096.32"/>
    <x v="3"/>
    <n v="1.6"/>
    <n v="1.91"/>
    <n v="1.54"/>
  </r>
  <r>
    <x v="0"/>
    <x v="4"/>
    <x v="0"/>
    <n v="2831"/>
    <n v="1054.49"/>
    <x v="1"/>
    <n v="1.6"/>
    <n v="1.91"/>
    <n v="1.54"/>
  </r>
  <r>
    <x v="0"/>
    <x v="5"/>
    <x v="0"/>
    <n v="3513"/>
    <n v="1059.07"/>
    <x v="4"/>
    <n v="1.6"/>
    <n v="1.91"/>
    <n v="1.54"/>
  </r>
  <r>
    <x v="0"/>
    <x v="6"/>
    <x v="0"/>
    <n v="4617"/>
    <n v="1152.9000000000001"/>
    <x v="5"/>
    <n v="2.04"/>
    <n v="9.0299999999999994"/>
    <n v="0.88"/>
  </r>
  <r>
    <x v="0"/>
    <x v="7"/>
    <x v="0"/>
    <n v="4266"/>
    <n v="1086.8699999999999"/>
    <x v="3"/>
    <n v="2.04"/>
    <n v="9.0299999999999994"/>
    <n v="0.88"/>
  </r>
  <r>
    <x v="0"/>
    <x v="8"/>
    <x v="0"/>
    <n v="5254"/>
    <n v="1108.4000000000001"/>
    <x v="6"/>
    <n v="2.04"/>
    <n v="9.0299999999999994"/>
    <n v="0.88"/>
  </r>
  <r>
    <x v="0"/>
    <x v="9"/>
    <x v="0"/>
    <n v="5278"/>
    <n v="1121.1099999999999"/>
    <x v="7"/>
    <n v="1.66"/>
    <n v="4.8499999999999996"/>
    <n v="1.1100000000000001"/>
  </r>
  <r>
    <x v="0"/>
    <x v="10"/>
    <x v="0"/>
    <n v="5943"/>
    <n v="1079.6600000000001"/>
    <x v="8"/>
    <n v="1.66"/>
    <n v="4.8499999999999996"/>
    <n v="1.1100000000000001"/>
  </r>
  <r>
    <x v="0"/>
    <x v="11"/>
    <x v="0"/>
    <n v="5204"/>
    <n v="1130.3900000000001"/>
    <x v="8"/>
    <n v="1.66"/>
    <n v="4.8499999999999996"/>
    <n v="1.1100000000000001"/>
  </r>
  <r>
    <x v="1"/>
    <x v="0"/>
    <x v="0"/>
    <n v="5547"/>
    <n v="1121.5899999999999"/>
    <x v="8"/>
    <n v="1.66"/>
    <n v="1.22"/>
    <n v="1.23"/>
  </r>
  <r>
    <x v="1"/>
    <x v="1"/>
    <x v="0"/>
    <n v="5890"/>
    <n v="1081.1099999999999"/>
    <x v="5"/>
    <n v="1.66"/>
    <n v="1.22"/>
    <n v="1.23"/>
  </r>
  <r>
    <x v="1"/>
    <x v="2"/>
    <x v="0"/>
    <n v="6114"/>
    <n v="1104.5"/>
    <x v="5"/>
    <n v="1.66"/>
    <n v="1.22"/>
    <n v="1.23"/>
  </r>
  <r>
    <x v="1"/>
    <x v="3"/>
    <x v="0"/>
    <n v="5487"/>
    <n v="1121.5999999999999"/>
    <x v="9"/>
    <n v="4.32"/>
    <n v="5.3"/>
    <n v="4.18"/>
  </r>
  <r>
    <x v="1"/>
    <x v="4"/>
    <x v="0"/>
    <n v="6692"/>
    <n v="1127.3599999999999"/>
    <x v="7"/>
    <n v="4.32"/>
    <n v="5.3"/>
    <n v="4.18"/>
  </r>
  <r>
    <x v="1"/>
    <x v="5"/>
    <x v="0"/>
    <n v="6747"/>
    <n v="1177.74"/>
    <x v="10"/>
    <n v="4.32"/>
    <n v="5.3"/>
    <n v="4.18"/>
  </r>
  <r>
    <x v="1"/>
    <x v="6"/>
    <x v="0"/>
    <n v="7291"/>
    <n v="1212.72"/>
    <x v="11"/>
    <n v="4.97"/>
    <n v="2.3199999999999998"/>
    <n v="5.47"/>
  </r>
  <r>
    <x v="1"/>
    <x v="7"/>
    <x v="0"/>
    <n v="7309"/>
    <n v="1178.6400000000001"/>
    <x v="3"/>
    <n v="4.97"/>
    <n v="2.3199999999999998"/>
    <n v="5.47"/>
  </r>
  <r>
    <x v="1"/>
    <x v="8"/>
    <x v="0"/>
    <n v="7771"/>
    <n v="1212.6600000000001"/>
    <x v="12"/>
    <n v="4.97"/>
    <n v="2.3199999999999998"/>
    <n v="5.47"/>
  </r>
  <r>
    <x v="1"/>
    <x v="9"/>
    <x v="0"/>
    <n v="6986"/>
    <n v="1231.07"/>
    <x v="13"/>
    <n v="6.77"/>
    <n v="7.1"/>
    <n v="6.7"/>
  </r>
  <r>
    <x v="1"/>
    <x v="10"/>
    <x v="0"/>
    <n v="7317"/>
    <n v="1229.3599999999999"/>
    <x v="14"/>
    <n v="6.77"/>
    <n v="7.1"/>
    <n v="6.7"/>
  </r>
  <r>
    <x v="1"/>
    <x v="11"/>
    <x v="0"/>
    <n v="7118"/>
    <n v="1194.73"/>
    <x v="15"/>
    <n v="6.77"/>
    <n v="7.1"/>
    <n v="6.7"/>
  </r>
  <r>
    <x v="2"/>
    <x v="0"/>
    <x v="0"/>
    <n v="7894"/>
    <n v="1289.51"/>
    <x v="16"/>
    <n v="8.94"/>
    <n v="10.130000000000001"/>
    <n v="8.69"/>
  </r>
  <r>
    <x v="2"/>
    <x v="1"/>
    <x v="0"/>
    <n v="8009"/>
    <n v="1262.71"/>
    <x v="17"/>
    <n v="8.94"/>
    <n v="10.130000000000001"/>
    <n v="8.69"/>
  </r>
  <r>
    <x v="2"/>
    <x v="2"/>
    <x v="0"/>
    <n v="8636"/>
    <n v="1247.1500000000001"/>
    <x v="14"/>
    <n v="8.94"/>
    <n v="10.130000000000001"/>
    <n v="8.69"/>
  </r>
  <r>
    <x v="2"/>
    <x v="3"/>
    <x v="0"/>
    <n v="6359"/>
    <n v="1260.23"/>
    <x v="18"/>
    <n v="8.01"/>
    <n v="8.73"/>
    <n v="7.87"/>
  </r>
  <r>
    <x v="2"/>
    <x v="4"/>
    <x v="0"/>
    <n v="9575"/>
    <n v="1252.22"/>
    <x v="19"/>
    <n v="8.01"/>
    <n v="8.73"/>
    <n v="7.87"/>
  </r>
  <r>
    <x v="2"/>
    <x v="5"/>
    <x v="0"/>
    <n v="9053"/>
    <n v="1303.81"/>
    <x v="16"/>
    <n v="8.01"/>
    <n v="8.73"/>
    <n v="7.87"/>
  </r>
  <r>
    <x v="2"/>
    <x v="6"/>
    <x v="0"/>
    <n v="8678"/>
    <n v="1327.23"/>
    <x v="16"/>
    <n v="6.91"/>
    <n v="6.97"/>
    <n v="6.91"/>
  </r>
  <r>
    <x v="2"/>
    <x v="7"/>
    <x v="0"/>
    <n v="8697"/>
    <n v="1294.18"/>
    <x v="3"/>
    <n v="6.91"/>
    <n v="6.97"/>
    <n v="6.91"/>
  </r>
  <r>
    <x v="2"/>
    <x v="8"/>
    <x v="0"/>
    <n v="9225"/>
    <n v="1340.02"/>
    <x v="20"/>
    <n v="6.91"/>
    <n v="6.97"/>
    <n v="6.91"/>
  </r>
  <r>
    <x v="2"/>
    <x v="9"/>
    <x v="0"/>
    <n v="8236"/>
    <n v="1320.57"/>
    <x v="21"/>
    <n v="5.0599999999999996"/>
    <n v="6.69"/>
    <n v="4.68"/>
  </r>
  <r>
    <x v="2"/>
    <x v="10"/>
    <x v="0"/>
    <n v="9056"/>
    <n v="1266.06"/>
    <x v="22"/>
    <n v="5.0599999999999996"/>
    <n v="6.69"/>
    <n v="4.68"/>
  </r>
  <r>
    <x v="2"/>
    <x v="11"/>
    <x v="0"/>
    <n v="7039"/>
    <n v="1265"/>
    <x v="23"/>
    <n v="5.0599999999999996"/>
    <n v="6.69"/>
    <n v="4.68"/>
  </r>
  <r>
    <x v="3"/>
    <x v="0"/>
    <x v="0"/>
    <n v="8986"/>
    <n v="1312"/>
    <x v="24"/>
    <n v="3.36"/>
    <n v="8.73"/>
    <n v="2.33"/>
  </r>
  <r>
    <x v="3"/>
    <x v="1"/>
    <x v="0"/>
    <n v="8149"/>
    <n v="1303"/>
    <x v="25"/>
    <n v="3.36"/>
    <n v="8.73"/>
    <n v="2.33"/>
  </r>
  <r>
    <x v="3"/>
    <x v="2"/>
    <x v="0"/>
    <n v="9094"/>
    <n v="1326"/>
    <x v="25"/>
    <n v="3.36"/>
    <n v="8.73"/>
    <n v="2.33"/>
  </r>
  <r>
    <x v="3"/>
    <x v="3"/>
    <x v="0"/>
    <n v="6702"/>
    <n v="1370"/>
    <x v="26"/>
    <n v="3.47"/>
    <n v="8.59"/>
    <n v="2.4500000000000002"/>
  </r>
  <r>
    <x v="3"/>
    <x v="4"/>
    <x v="0"/>
    <n v="9464"/>
    <n v="1317"/>
    <x v="27"/>
    <n v="3.47"/>
    <n v="8.59"/>
    <n v="2.4500000000000002"/>
  </r>
  <r>
    <x v="3"/>
    <x v="5"/>
    <x v="0"/>
    <n v="9157"/>
    <n v="1372"/>
    <x v="28"/>
    <n v="3.47"/>
    <n v="8.59"/>
    <n v="2.4500000000000002"/>
  </r>
  <r>
    <x v="3"/>
    <x v="6"/>
    <x v="0"/>
    <n v="7973"/>
    <n v="1392"/>
    <x v="29"/>
    <n v="5.08"/>
    <n v="11.69"/>
    <n v="3.8"/>
  </r>
  <r>
    <x v="3"/>
    <x v="7"/>
    <x v="0"/>
    <n v="8093"/>
    <n v="1407"/>
    <x v="3"/>
    <n v="5.08"/>
    <n v="11.69"/>
    <n v="3.8"/>
  </r>
  <r>
    <x v="3"/>
    <x v="8"/>
    <x v="0"/>
    <n v="7623"/>
    <n v="1410"/>
    <x v="30"/>
    <n v="5.08"/>
    <n v="11.69"/>
    <n v="3.8"/>
  </r>
  <r>
    <x v="3"/>
    <x v="9"/>
    <x v="0"/>
    <n v="7299"/>
    <n v="1381"/>
    <x v="31"/>
    <n v="4.24"/>
    <n v="6.84"/>
    <n v="3.78"/>
  </r>
  <r>
    <x v="3"/>
    <x v="10"/>
    <x v="0"/>
    <n v="7924"/>
    <n v="1328"/>
    <x v="32"/>
    <n v="4.24"/>
    <n v="6.84"/>
    <n v="3.78"/>
  </r>
  <r>
    <x v="3"/>
    <x v="11"/>
    <x v="0"/>
    <n v="5634"/>
    <n v="1362"/>
    <x v="3"/>
    <n v="4.24"/>
    <n v="6.84"/>
    <n v="3.78"/>
  </r>
  <r>
    <x v="4"/>
    <x v="0"/>
    <x v="0"/>
    <n v="8469"/>
    <n v="1405"/>
    <x v="33"/>
    <n v="6.5"/>
    <n v="8.1999999999999993"/>
    <n v="6.21"/>
  </r>
  <r>
    <x v="4"/>
    <x v="1"/>
    <x v="0"/>
    <n v="9154"/>
    <n v="1401"/>
    <x v="34"/>
    <n v="6.5"/>
    <n v="8.1999999999999993"/>
    <n v="6.21"/>
  </r>
  <r>
    <x v="4"/>
    <x v="2"/>
    <x v="0"/>
    <n v="7423"/>
    <n v="1446"/>
    <x v="35"/>
    <n v="6.5"/>
    <n v="8.1999999999999993"/>
    <n v="6.21"/>
  </r>
  <r>
    <x v="4"/>
    <x v="3"/>
    <x v="0"/>
    <n v="8263"/>
    <n v="1419"/>
    <x v="36"/>
    <n v="8.6"/>
    <n v="11.57"/>
    <n v="8.11"/>
  </r>
  <r>
    <x v="4"/>
    <x v="4"/>
    <x v="0"/>
    <n v="7418"/>
    <n v="1470"/>
    <x v="37"/>
    <n v="8.6"/>
    <n v="11.57"/>
    <n v="8.11"/>
  </r>
  <r>
    <x v="4"/>
    <x v="5"/>
    <x v="0"/>
    <n v="7894"/>
    <n v="1454"/>
    <x v="38"/>
    <n v="8.6"/>
    <n v="11.57"/>
    <n v="8.11"/>
  </r>
  <r>
    <x v="4"/>
    <x v="6"/>
    <x v="0"/>
    <n v="9408"/>
    <n v="1454"/>
    <x v="39"/>
    <n v="8.8000000000000007"/>
    <n v="8.59"/>
    <n v="8.8699999999999992"/>
  </r>
  <r>
    <x v="4"/>
    <x v="7"/>
    <x v="0"/>
    <n v="7923"/>
    <n v="1488"/>
    <x v="3"/>
    <n v="8.8000000000000007"/>
    <n v="8.59"/>
    <n v="8.8699999999999992"/>
  </r>
  <r>
    <x v="4"/>
    <x v="8"/>
    <x v="0"/>
    <n v="10801"/>
    <n v="1454"/>
    <x v="40"/>
    <n v="8.8000000000000007"/>
    <n v="8.59"/>
    <n v="8.8699999999999992"/>
  </r>
  <r>
    <x v="4"/>
    <x v="9"/>
    <x v="0"/>
    <n v="10984"/>
    <n v="1457"/>
    <x v="41"/>
    <n v="8.1999999999999993"/>
    <n v="8.8000000000000007"/>
    <n v="9.1999999999999993"/>
  </r>
  <r>
    <x v="4"/>
    <x v="10"/>
    <x v="0"/>
    <n v="8550"/>
    <n v="1472"/>
    <x v="42"/>
    <n v="8.1999999999999993"/>
    <n v="8.8000000000000007"/>
    <n v="9.1999999999999993"/>
  </r>
  <r>
    <x v="4"/>
    <x v="11"/>
    <x v="0"/>
    <n v="8486"/>
    <n v="1491"/>
    <x v="43"/>
    <n v="8.1999999999999993"/>
    <n v="8.8000000000000007"/>
    <n v="9.1999999999999993"/>
  </r>
  <r>
    <x v="0"/>
    <x v="0"/>
    <x v="1"/>
    <n v="47017"/>
    <n v="1492.84"/>
    <x v="0"/>
    <n v="3.21"/>
    <n v="6.14"/>
    <n v="2.71"/>
  </r>
  <r>
    <x v="0"/>
    <x v="1"/>
    <x v="1"/>
    <n v="45102"/>
    <n v="1439.09"/>
    <x v="1"/>
    <n v="3.21"/>
    <n v="6.14"/>
    <n v="2.71"/>
  </r>
  <r>
    <x v="0"/>
    <x v="2"/>
    <x v="1"/>
    <n v="35745"/>
    <n v="1451.93"/>
    <x v="2"/>
    <n v="3.21"/>
    <n v="6.14"/>
    <n v="2.71"/>
  </r>
  <r>
    <x v="0"/>
    <x v="3"/>
    <x v="1"/>
    <n v="25439"/>
    <n v="1513.19"/>
    <x v="3"/>
    <n v="2.11"/>
    <n v="4.1500000000000004"/>
    <n v="1.79"/>
  </r>
  <r>
    <x v="0"/>
    <x v="4"/>
    <x v="1"/>
    <n v="22652"/>
    <n v="1482.59"/>
    <x v="1"/>
    <n v="2.11"/>
    <n v="4.1500000000000004"/>
    <n v="1.79"/>
  </r>
  <r>
    <x v="0"/>
    <x v="5"/>
    <x v="1"/>
    <n v="27788"/>
    <n v="1439.29"/>
    <x v="4"/>
    <n v="2.11"/>
    <n v="4.1500000000000004"/>
    <n v="1.79"/>
  </r>
  <r>
    <x v="0"/>
    <x v="6"/>
    <x v="1"/>
    <n v="32751"/>
    <n v="1443.68"/>
    <x v="5"/>
    <n v="1.68"/>
    <n v="7.46"/>
    <n v="0.76"/>
  </r>
  <r>
    <x v="0"/>
    <x v="7"/>
    <x v="1"/>
    <n v="31592"/>
    <n v="1294"/>
    <x v="3"/>
    <n v="1.68"/>
    <n v="7.46"/>
    <n v="0.76"/>
  </r>
  <r>
    <x v="0"/>
    <x v="8"/>
    <x v="1"/>
    <n v="37982"/>
    <n v="1374"/>
    <x v="6"/>
    <n v="1.68"/>
    <n v="7.46"/>
    <n v="0.76"/>
  </r>
  <r>
    <x v="0"/>
    <x v="9"/>
    <x v="1"/>
    <n v="37832"/>
    <n v="1377"/>
    <x v="7"/>
    <n v="1.48"/>
    <n v="8.1999999999999993"/>
    <n v="0.4"/>
  </r>
  <r>
    <x v="0"/>
    <x v="10"/>
    <x v="1"/>
    <n v="40119"/>
    <n v="1398"/>
    <x v="8"/>
    <n v="1.48"/>
    <n v="8.1999999999999993"/>
    <n v="0.4"/>
  </r>
  <r>
    <x v="0"/>
    <x v="11"/>
    <x v="1"/>
    <n v="36219"/>
    <n v="1463"/>
    <x v="8"/>
    <n v="1.48"/>
    <n v="8.1999999999999993"/>
    <n v="0.4"/>
  </r>
  <r>
    <x v="1"/>
    <x v="0"/>
    <x v="1"/>
    <n v="40213"/>
    <n v="1497"/>
    <x v="8"/>
    <n v="0.9"/>
    <n v="2.3199999999999998"/>
    <n v="0.7"/>
  </r>
  <r>
    <x v="1"/>
    <x v="1"/>
    <x v="1"/>
    <n v="43251"/>
    <n v="1428"/>
    <x v="5"/>
    <n v="0.9"/>
    <n v="2.3199999999999998"/>
    <n v="0.7"/>
  </r>
  <r>
    <x v="1"/>
    <x v="2"/>
    <x v="1"/>
    <n v="47188"/>
    <n v="1449"/>
    <x v="5"/>
    <n v="0.9"/>
    <n v="2.3199999999999998"/>
    <n v="0.7"/>
  </r>
  <r>
    <x v="1"/>
    <x v="3"/>
    <x v="1"/>
    <n v="42328"/>
    <n v="1479"/>
    <x v="9"/>
    <n v="3.26"/>
    <n v="6.01"/>
    <n v="2.9"/>
  </r>
  <r>
    <x v="1"/>
    <x v="4"/>
    <x v="1"/>
    <n v="47036"/>
    <n v="1490"/>
    <x v="7"/>
    <n v="3.26"/>
    <n v="6.01"/>
    <n v="2.9"/>
  </r>
  <r>
    <x v="1"/>
    <x v="5"/>
    <x v="1"/>
    <n v="48815"/>
    <n v="1533.11"/>
    <x v="10"/>
    <n v="3.26"/>
    <n v="6.01"/>
    <n v="2.9"/>
  </r>
  <r>
    <x v="1"/>
    <x v="6"/>
    <x v="1"/>
    <n v="49732"/>
    <n v="1579.11"/>
    <x v="11"/>
    <n v="4.21"/>
    <n v="4.07"/>
    <n v="4.29"/>
  </r>
  <r>
    <x v="1"/>
    <x v="7"/>
    <x v="1"/>
    <n v="49899"/>
    <n v="1430.9"/>
    <x v="3"/>
    <n v="4.21"/>
    <n v="4.07"/>
    <n v="4.29"/>
  </r>
  <r>
    <x v="1"/>
    <x v="8"/>
    <x v="1"/>
    <n v="53619"/>
    <n v="1539.56"/>
    <x v="12"/>
    <n v="4.21"/>
    <n v="4.07"/>
    <n v="4.29"/>
  </r>
  <r>
    <x v="1"/>
    <x v="9"/>
    <x v="1"/>
    <n v="46346"/>
    <n v="1527.16"/>
    <x v="13"/>
    <n v="6.38"/>
    <n v="6.06"/>
    <n v="6.44"/>
  </r>
  <r>
    <x v="1"/>
    <x v="10"/>
    <x v="1"/>
    <n v="49779"/>
    <n v="1551"/>
    <x v="14"/>
    <n v="6.38"/>
    <n v="6.06"/>
    <n v="6.44"/>
  </r>
  <r>
    <x v="1"/>
    <x v="11"/>
    <x v="1"/>
    <n v="48279"/>
    <n v="1582"/>
    <x v="15"/>
    <n v="6.38"/>
    <n v="6.06"/>
    <n v="6.44"/>
  </r>
  <r>
    <x v="2"/>
    <x v="0"/>
    <x v="1"/>
    <n v="52902"/>
    <n v="1651"/>
    <x v="16"/>
    <n v="8.5399999999999991"/>
    <n v="10.08"/>
    <n v="8.2100000000000009"/>
  </r>
  <r>
    <x v="2"/>
    <x v="1"/>
    <x v="1"/>
    <n v="53739"/>
    <n v="1578"/>
    <x v="17"/>
    <n v="8.5399999999999991"/>
    <n v="10.08"/>
    <n v="8.2100000000000009"/>
  </r>
  <r>
    <x v="2"/>
    <x v="2"/>
    <x v="1"/>
    <n v="59158"/>
    <n v="1622"/>
    <x v="14"/>
    <n v="8.5399999999999991"/>
    <n v="10.08"/>
    <n v="8.2100000000000009"/>
  </r>
  <r>
    <x v="2"/>
    <x v="3"/>
    <x v="1"/>
    <n v="47139"/>
    <n v="1607"/>
    <x v="18"/>
    <n v="8.02"/>
    <n v="8.8000000000000007"/>
    <n v="7.86"/>
  </r>
  <r>
    <x v="2"/>
    <x v="4"/>
    <x v="1"/>
    <n v="59984"/>
    <n v="1604"/>
    <x v="19"/>
    <n v="8.02"/>
    <n v="8.8000000000000007"/>
    <n v="7.86"/>
  </r>
  <r>
    <x v="2"/>
    <x v="5"/>
    <x v="1"/>
    <n v="57686"/>
    <n v="1644"/>
    <x v="16"/>
    <n v="8.02"/>
    <n v="8.8000000000000007"/>
    <n v="7.86"/>
  </r>
  <r>
    <x v="2"/>
    <x v="6"/>
    <x v="1"/>
    <n v="53987"/>
    <n v="1695"/>
    <x v="16"/>
    <n v="7.64"/>
    <n v="6.8"/>
    <n v="7.83"/>
  </r>
  <r>
    <x v="2"/>
    <x v="7"/>
    <x v="1"/>
    <n v="57548"/>
    <n v="1498"/>
    <x v="3"/>
    <n v="7.64"/>
    <n v="6.8"/>
    <n v="7.83"/>
  </r>
  <r>
    <x v="2"/>
    <x v="8"/>
    <x v="1"/>
    <n v="57757"/>
    <n v="1660"/>
    <x v="20"/>
    <n v="7.64"/>
    <n v="6.8"/>
    <n v="7.83"/>
  </r>
  <r>
    <x v="2"/>
    <x v="9"/>
    <x v="1"/>
    <n v="51628"/>
    <n v="1605"/>
    <x v="21"/>
    <n v="5.45"/>
    <n v="6.16"/>
    <n v="5.3"/>
  </r>
  <r>
    <x v="2"/>
    <x v="10"/>
    <x v="1"/>
    <n v="55245"/>
    <n v="1570"/>
    <x v="22"/>
    <n v="5.45"/>
    <n v="6.16"/>
    <n v="5.3"/>
  </r>
  <r>
    <x v="2"/>
    <x v="11"/>
    <x v="1"/>
    <n v="43492"/>
    <n v="1594"/>
    <x v="23"/>
    <n v="5.45"/>
    <n v="6.16"/>
    <n v="5.3"/>
  </r>
  <r>
    <x v="3"/>
    <x v="0"/>
    <x v="1"/>
    <n v="55496"/>
    <n v="1627"/>
    <x v="24"/>
    <n v="3.49"/>
    <n v="5.97"/>
    <n v="3.04"/>
  </r>
  <r>
    <x v="3"/>
    <x v="1"/>
    <x v="1"/>
    <n v="49915"/>
    <n v="1582"/>
    <x v="25"/>
    <n v="3.49"/>
    <n v="5.97"/>
    <n v="3.04"/>
  </r>
  <r>
    <x v="3"/>
    <x v="2"/>
    <x v="1"/>
    <n v="55599"/>
    <n v="1580"/>
    <x v="25"/>
    <n v="3.49"/>
    <n v="5.97"/>
    <n v="3.04"/>
  </r>
  <r>
    <x v="3"/>
    <x v="3"/>
    <x v="1"/>
    <n v="42799"/>
    <n v="1622"/>
    <x v="26"/>
    <n v="3.64"/>
    <n v="7.66"/>
    <n v="2.87"/>
  </r>
  <r>
    <x v="3"/>
    <x v="4"/>
    <x v="1"/>
    <n v="56096"/>
    <n v="1616"/>
    <x v="27"/>
    <n v="3.64"/>
    <n v="7.66"/>
    <n v="2.87"/>
  </r>
  <r>
    <x v="3"/>
    <x v="5"/>
    <x v="1"/>
    <n v="53367"/>
    <n v="1622"/>
    <x v="28"/>
    <n v="3.64"/>
    <n v="7.66"/>
    <n v="2.87"/>
  </r>
  <r>
    <x v="3"/>
    <x v="6"/>
    <x v="1"/>
    <n v="47984"/>
    <n v="1617"/>
    <x v="29"/>
    <n v="4.46"/>
    <n v="11"/>
    <n v="3.22"/>
  </r>
  <r>
    <x v="3"/>
    <x v="7"/>
    <x v="1"/>
    <n v="49014"/>
    <n v="1526"/>
    <x v="3"/>
    <n v="4.46"/>
    <n v="11"/>
    <n v="3.22"/>
  </r>
  <r>
    <x v="3"/>
    <x v="8"/>
    <x v="1"/>
    <n v="43739"/>
    <n v="1643"/>
    <x v="30"/>
    <n v="4.46"/>
    <n v="11"/>
    <n v="3.22"/>
  </r>
  <r>
    <x v="3"/>
    <x v="9"/>
    <x v="1"/>
    <n v="45879"/>
    <n v="1644"/>
    <x v="31"/>
    <n v="4.22"/>
    <n v="7.47"/>
    <n v="3.64"/>
  </r>
  <r>
    <x v="3"/>
    <x v="10"/>
    <x v="1"/>
    <n v="47203"/>
    <n v="1623"/>
    <x v="32"/>
    <n v="4.22"/>
    <n v="7.47"/>
    <n v="3.64"/>
  </r>
  <r>
    <x v="3"/>
    <x v="11"/>
    <x v="1"/>
    <n v="36560"/>
    <n v="1687"/>
    <x v="3"/>
    <n v="4.22"/>
    <n v="7.47"/>
    <n v="3.64"/>
  </r>
  <r>
    <x v="4"/>
    <x v="0"/>
    <x v="1"/>
    <n v="54346"/>
    <n v="1706"/>
    <x v="33"/>
    <n v="6.29"/>
    <n v="10.08"/>
    <n v="5.65"/>
  </r>
  <r>
    <x v="4"/>
    <x v="1"/>
    <x v="1"/>
    <n v="52796"/>
    <n v="1649"/>
    <x v="34"/>
    <n v="6.29"/>
    <n v="10.08"/>
    <n v="5.65"/>
  </r>
  <r>
    <x v="4"/>
    <x v="2"/>
    <x v="1"/>
    <n v="44878"/>
    <n v="1683"/>
    <x v="35"/>
    <n v="6.29"/>
    <n v="10.08"/>
    <n v="5.65"/>
  </r>
  <r>
    <x v="4"/>
    <x v="3"/>
    <x v="1"/>
    <n v="53091"/>
    <n v="1669"/>
    <x v="36"/>
    <n v="7.8"/>
    <n v="11.22"/>
    <n v="7.27"/>
  </r>
  <r>
    <x v="4"/>
    <x v="4"/>
    <x v="1"/>
    <n v="44013"/>
    <n v="1710"/>
    <x v="37"/>
    <n v="7.8"/>
    <n v="11.22"/>
    <n v="7.27"/>
  </r>
  <r>
    <x v="4"/>
    <x v="5"/>
    <x v="1"/>
    <n v="50099"/>
    <n v="1741"/>
    <x v="38"/>
    <n v="7.8"/>
    <n v="11.22"/>
    <n v="7.27"/>
  </r>
  <r>
    <x v="4"/>
    <x v="6"/>
    <x v="1"/>
    <n v="57302"/>
    <n v="1731"/>
    <x v="39"/>
    <n v="8.1"/>
    <n v="9.84"/>
    <n v="7.87"/>
  </r>
  <r>
    <x v="4"/>
    <x v="7"/>
    <x v="1"/>
    <n v="49453"/>
    <n v="1599"/>
    <x v="3"/>
    <n v="8.1"/>
    <n v="9.84"/>
    <n v="7.87"/>
  </r>
  <r>
    <x v="4"/>
    <x v="8"/>
    <x v="1"/>
    <n v="61887"/>
    <n v="1813"/>
    <x v="40"/>
    <n v="8.1"/>
    <n v="9.84"/>
    <n v="7.87"/>
  </r>
  <r>
    <x v="4"/>
    <x v="9"/>
    <x v="1"/>
    <n v="69418"/>
    <n v="1693"/>
    <x v="41"/>
    <n v="8.4"/>
    <n v="10.3"/>
    <n v="8.1"/>
  </r>
  <r>
    <x v="4"/>
    <x v="10"/>
    <x v="1"/>
    <n v="54299"/>
    <n v="1723"/>
    <x v="42"/>
    <n v="8.4"/>
    <n v="10.3"/>
    <n v="8.1"/>
  </r>
  <r>
    <x v="4"/>
    <x v="11"/>
    <x v="1"/>
    <n v="50337"/>
    <n v="1768"/>
    <x v="43"/>
    <n v="8.4"/>
    <n v="10.3"/>
    <n v="8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19F5C-495F-404B-A726-FBE111D1F161}" name="TablaDiná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4:C18" firstHeaderRow="1" firstDataRow="2" firstDataCol="1" rowPageCount="1" colPageCount="1"/>
  <pivotFields count="9">
    <pivotField axis="axisCol" showAll="0">
      <items count="6">
        <item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dataField="1" numFmtId="3" showAll="0"/>
    <pivotField numFmtId="165" showAll="0"/>
    <pivotField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pageFields count="1">
    <pageField fld="2" hier="-1"/>
  </pageFields>
  <dataFields count="1">
    <dataField name="Suma de Evo_compra" fld="3" baseField="1" baseItem="4" numFmtId="3"/>
  </dataFields>
  <chartFormats count="7">
    <chartFormat chart="0" format="5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7B681-FBA1-4AE7-8EAF-2F31C3D207A6}" name="TablaDiná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21:C35" firstHeaderRow="1" firstDataRow="2" firstDataCol="1"/>
  <pivotFields count="9">
    <pivotField axis="axisCol" showAll="0">
      <items count="6">
        <item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dataField="1" numFmtId="165" showAll="0"/>
    <pivotField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dataFields count="1">
    <dataField name="Suma de valor_mt2" fld="4" baseField="1" baseItem="0" numFmtId="4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C10730-EA1F-45EF-9E3A-37CCF5FAA3DA}" name="TablaDinámica4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A38:C52" firstHeaderRow="1" firstDataRow="2" firstDataCol="1"/>
  <pivotFields count="9">
    <pivotField axis="axisCol" showAll="0">
      <items count="6">
        <item h="1" x="0"/>
        <item h="1" x="1"/>
        <item x="2"/>
        <item h="1" x="3"/>
        <item n="2024"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numFmtId="165" showAll="0"/>
    <pivotField dataField="1" showAll="0"/>
    <pivotField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dataFields count="1">
    <dataField name="Suma de Promedio de españoles" fld="5" baseField="1" baseItem="0" numFmtId="164"/>
  </dataFields>
  <chartFormats count="4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3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8"/>
          </reference>
        </references>
      </pivotArea>
    </chartFormat>
    <chartFormat chart="3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3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3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3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3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3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3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3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3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</references>
      </pivotArea>
    </chartFormat>
    <chartFormat chart="3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</references>
      </pivotArea>
    </chartFormat>
    <chartFormat chart="3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0"/>
          </reference>
        </references>
      </pivotArea>
    </chartFormat>
    <chartFormat chart="3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</references>
      </pivotArea>
    </chartFormat>
    <chartFormat chart="3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2ADF84-3FD1-43D5-9D16-2D5BF77F0048}" name="TablaDinámica5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A55:C69" firstHeaderRow="1" firstDataRow="2" firstDataCol="1"/>
  <pivotFields count="9">
    <pivotField axis="axisCol" showAll="0">
      <items count="6">
        <item n="2020"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numFmtId="165" showAll="0"/>
    <pivotField showAll="0"/>
    <pivotField dataField="1" numFmtId="164" showAll="0"/>
    <pivotField numFmtId="164" showAll="0"/>
    <pivotField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2">
    <i>
      <x v="2"/>
    </i>
    <i t="grand">
      <x/>
    </i>
  </colItems>
  <dataFields count="1">
    <dataField name="Evol. Precio Vivienda" fld="6" baseField="1" baseItem="0" numFmtId="166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A2B55-2FFE-4209-B19C-9FF253C39378}" name="TablaDinámica9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A73:E88" firstHeaderRow="1" firstDataRow="3" firstDataCol="1"/>
  <pivotFields count="9">
    <pivotField axis="axisCol" multipleItemSelectionAllowed="1" showAll="0">
      <items count="6">
        <item h="1" x="0"/>
        <item h="1" x="1"/>
        <item x="2"/>
        <item h="1" x="3"/>
        <item h="1" x="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3">
        <item h="1" x="0"/>
        <item x="1"/>
        <item t="default"/>
      </items>
    </pivotField>
    <pivotField numFmtId="3" showAll="0"/>
    <pivotField numFmtId="165" showAll="0"/>
    <pivotField showAll="0"/>
    <pivotField numFmtId="164" showAll="0"/>
    <pivotField dataField="1" numFmtId="164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4">
    <i>
      <x v="2"/>
      <x/>
    </i>
    <i r="1" i="1">
      <x v="1"/>
    </i>
    <i t="grand">
      <x/>
    </i>
    <i t="grand" i="1">
      <x/>
    </i>
  </colItems>
  <dataFields count="2">
    <dataField name=" V.Nueva" fld="7" baseField="0" baseItem="0"/>
    <dataField name="V. Usada" fld="8" baseField="0" baseItem="0"/>
  </dataFields>
  <chartFormats count="15">
    <chartFormat chart="2" format="1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2" format="1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2" format="12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íon" xr10:uid="{888CD54B-F61C-4300-8044-1B12137F7B74}" sourceName="Regíon">
  <pivotTables>
    <pivotTable tabId="2" name="TablaDinámica2"/>
    <pivotTable tabId="2" name="TablaDinámica3"/>
    <pivotTable tabId="2" name="TablaDinámica5"/>
    <pivotTable tabId="2" name="TablaDinámica9"/>
    <pivotTable tabId="2" name="TablaDinámica4"/>
  </pivotTables>
  <data>
    <tabular pivotCacheId="480390691">
      <items count="2">
        <i x="0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9B9D7BBE-4863-40AA-BCD6-46FAD3CBBB3D}" sourceName="Año">
  <pivotTables>
    <pivotTable tabId="2" name="TablaDinámica2"/>
    <pivotTable tabId="2" name="TablaDinámica3"/>
    <pivotTable tabId="2" name="TablaDinámica4"/>
    <pivotTable tabId="2" name="TablaDinámica5"/>
    <pivotTable tabId="2" name="TablaDinámica9"/>
  </pivotTables>
  <data>
    <tabular pivotCacheId="480390691">
      <items count="5">
        <i x="1"/>
        <i x="2" s="1"/>
        <i x="3"/>
        <i x="0"/>
        <i x="4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íon" xr10:uid="{3BF9595F-DCF3-4767-8918-04AA072D3083}" cache="SegmentaciónDeDatos_Regíon" caption="Regíon" columnCount="2" style="Estilo de segmentación de datos 3" rowHeight="396000"/>
  <slicer name="Año" xr10:uid="{8860C0D4-25E6-4BDC-B4D9-122DC309CAFA}" cache="SegmentaciónDeDatos_Año" caption="Año" columnCount="3" style="Estilo de segmentación de datos 3" rowHeight="468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A6DC9C7-86E7-4504-8AF9-535DC4E7C0BB}" name="Tabla10" displayName="Tabla10" ref="A2:I122" totalsRowShown="0" dataDxfId="10" tableBorderDxfId="9">
  <autoFilter ref="A2:I122" xr:uid="{BA6DC9C7-86E7-4504-8AF9-535DC4E7C0BB}"/>
  <tableColumns count="9">
    <tableColumn id="1" xr3:uid="{1BCA6966-7580-4535-B9BF-0A9FC145091C}" name="Año" dataDxfId="8"/>
    <tableColumn id="2" xr3:uid="{160D807B-B9CD-4289-BD9B-DE56253CFFA0}" name="Período" dataDxfId="7"/>
    <tableColumn id="7" xr3:uid="{E39D3D7A-C560-4AAC-AC76-772418A622A2}" name="Regíon" dataDxfId="6"/>
    <tableColumn id="3" xr3:uid="{5899C135-30F6-412D-ADD0-B956C6C299AB}" name="Evo_compra" dataDxfId="5"/>
    <tableColumn id="4" xr3:uid="{81EA804E-35F2-4690-B896-1D6022C4D3FF}" name="valor_mt2" dataDxfId="4"/>
    <tableColumn id="5" xr3:uid="{E85B407E-6D1E-4BDD-85F8-0CA8CE89CA42}" name="Promedio de españoles" dataDxfId="3"/>
    <tableColumn id="9" xr3:uid="{EB09421A-0AA3-4385-A14E-0C45ADD6BEED}" name="Evol_precio_V" dataDxfId="2"/>
    <tableColumn id="10" xr3:uid="{250623D4-ACC5-4C76-BB65-246057CD6B3E}" name="V.Nueva" dataDxfId="1"/>
    <tableColumn id="11" xr3:uid="{348949D6-1D71-4727-BED3-769F2CF05CD1}" name="V.Usada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image" Target="../media/image1.emf"/><Relationship Id="rId4" Type="http://schemas.openxmlformats.org/officeDocument/2006/relationships/pivotTable" Target="../pivotTables/pivotTable4.xml"/><Relationship Id="rId9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1FB5A-CB5C-47D1-BD71-22E5845FF154}">
  <sheetPr codeName="Hoja1"/>
  <dimension ref="A1:T122"/>
  <sheetViews>
    <sheetView topLeftCell="A43" workbookViewId="0">
      <selection activeCell="J10" sqref="J10"/>
    </sheetView>
  </sheetViews>
  <sheetFormatPr baseColWidth="10" defaultRowHeight="14.4" x14ac:dyDescent="0.3"/>
  <cols>
    <col min="4" max="4" width="13.77734375" customWidth="1"/>
    <col min="5" max="5" width="21.77734375" bestFit="1" customWidth="1"/>
    <col min="6" max="6" width="22.88671875" bestFit="1" customWidth="1"/>
    <col min="7" max="7" width="15.21875" bestFit="1" customWidth="1"/>
    <col min="8" max="8" width="21.33203125" bestFit="1" customWidth="1"/>
    <col min="9" max="9" width="21.109375" bestFit="1" customWidth="1"/>
    <col min="13" max="13" width="14.21875" customWidth="1"/>
    <col min="17" max="17" width="21.77734375" bestFit="1" customWidth="1"/>
    <col min="18" max="18" width="13.5546875" bestFit="1" customWidth="1"/>
  </cols>
  <sheetData>
    <row r="1" spans="1:20" ht="15.6" x14ac:dyDescent="0.3">
      <c r="B1" s="1"/>
      <c r="C1" s="1"/>
      <c r="D1" s="1"/>
      <c r="G1" s="1"/>
      <c r="K1" s="2"/>
      <c r="L1" s="3"/>
      <c r="M1" s="3"/>
      <c r="N1" s="3"/>
      <c r="P1" s="1"/>
      <c r="T1" s="1"/>
    </row>
    <row r="2" spans="1:20" ht="15.6" x14ac:dyDescent="0.3">
      <c r="A2" t="s">
        <v>0</v>
      </c>
      <c r="B2" t="s">
        <v>1</v>
      </c>
      <c r="C2" t="s">
        <v>19</v>
      </c>
      <c r="D2" s="7" t="s">
        <v>17</v>
      </c>
      <c r="E2" s="4" t="s">
        <v>18</v>
      </c>
      <c r="F2" t="s">
        <v>16</v>
      </c>
      <c r="G2" t="s">
        <v>20</v>
      </c>
      <c r="H2" s="6" t="s">
        <v>28</v>
      </c>
      <c r="I2" t="s">
        <v>29</v>
      </c>
      <c r="K2" s="2"/>
      <c r="L2" s="3"/>
      <c r="M2" s="3"/>
      <c r="N2" s="3"/>
      <c r="P2" s="1"/>
      <c r="T2" s="1"/>
    </row>
    <row r="3" spans="1:20" ht="15.6" x14ac:dyDescent="0.3">
      <c r="A3" s="17">
        <v>2020</v>
      </c>
      <c r="B3" s="17" t="s">
        <v>2</v>
      </c>
      <c r="C3" s="17" t="s">
        <v>15</v>
      </c>
      <c r="D3" s="18">
        <v>6586</v>
      </c>
      <c r="E3" s="19">
        <v>1161.56</v>
      </c>
      <c r="F3" s="20">
        <v>2.6</v>
      </c>
      <c r="G3" s="21">
        <v>3.51</v>
      </c>
      <c r="H3" s="21">
        <v>5.7</v>
      </c>
      <c r="I3" s="21">
        <v>3.12</v>
      </c>
      <c r="K3" s="2"/>
      <c r="L3" s="3"/>
      <c r="M3" s="3"/>
      <c r="N3" s="3"/>
      <c r="P3" s="1"/>
      <c r="T3" s="1"/>
    </row>
    <row r="4" spans="1:20" ht="15.6" x14ac:dyDescent="0.3">
      <c r="A4" s="17">
        <v>2020</v>
      </c>
      <c r="B4" s="17" t="s">
        <v>3</v>
      </c>
      <c r="C4" s="17" t="s">
        <v>15</v>
      </c>
      <c r="D4" s="18">
        <v>6730</v>
      </c>
      <c r="E4" s="19">
        <v>1102.44</v>
      </c>
      <c r="F4" s="20">
        <v>1.7</v>
      </c>
      <c r="G4" s="21">
        <v>3.51</v>
      </c>
      <c r="H4" s="21">
        <v>5.7</v>
      </c>
      <c r="I4" s="21">
        <v>3.12</v>
      </c>
      <c r="K4" s="2"/>
      <c r="L4" s="3"/>
      <c r="M4" s="3"/>
      <c r="N4" s="3"/>
      <c r="P4" s="1"/>
      <c r="T4" s="1"/>
    </row>
    <row r="5" spans="1:20" ht="15.6" x14ac:dyDescent="0.3">
      <c r="A5" s="17">
        <v>2020</v>
      </c>
      <c r="B5" s="17" t="s">
        <v>4</v>
      </c>
      <c r="C5" s="17" t="s">
        <v>15</v>
      </c>
      <c r="D5" s="18">
        <v>5201</v>
      </c>
      <c r="E5" s="19">
        <v>1097.8699999999999</v>
      </c>
      <c r="F5" s="20">
        <v>2.8</v>
      </c>
      <c r="G5" s="21">
        <v>3.51</v>
      </c>
      <c r="H5" s="21">
        <v>5.7</v>
      </c>
      <c r="I5" s="21">
        <v>3.12</v>
      </c>
      <c r="K5" s="2"/>
      <c r="L5" s="3"/>
      <c r="M5" s="3"/>
      <c r="N5" s="3"/>
      <c r="P5" s="1"/>
      <c r="T5" s="1"/>
    </row>
    <row r="6" spans="1:20" ht="15.6" x14ac:dyDescent="0.3">
      <c r="A6" s="17">
        <v>2020</v>
      </c>
      <c r="B6" s="17" t="s">
        <v>5</v>
      </c>
      <c r="C6" s="17" t="s">
        <v>15</v>
      </c>
      <c r="D6" s="18">
        <v>3941</v>
      </c>
      <c r="E6" s="19">
        <v>1096.32</v>
      </c>
      <c r="F6" s="22" t="s">
        <v>21</v>
      </c>
      <c r="G6" s="21">
        <v>1.6</v>
      </c>
      <c r="H6" s="21">
        <v>1.91</v>
      </c>
      <c r="I6" s="21">
        <v>1.54</v>
      </c>
      <c r="K6" s="2"/>
      <c r="L6" s="3"/>
      <c r="M6" s="3"/>
      <c r="N6" s="3"/>
      <c r="P6" s="1"/>
      <c r="T6" s="1"/>
    </row>
    <row r="7" spans="1:20" ht="15.6" x14ac:dyDescent="0.3">
      <c r="A7" s="17">
        <v>2020</v>
      </c>
      <c r="B7" s="17" t="s">
        <v>6</v>
      </c>
      <c r="C7" s="17" t="s">
        <v>15</v>
      </c>
      <c r="D7" s="18">
        <v>2831</v>
      </c>
      <c r="E7" s="19">
        <v>1054.49</v>
      </c>
      <c r="F7" s="20">
        <v>1.7</v>
      </c>
      <c r="G7" s="21">
        <v>1.6</v>
      </c>
      <c r="H7" s="21">
        <v>1.91</v>
      </c>
      <c r="I7" s="21">
        <v>1.54</v>
      </c>
      <c r="K7" s="2"/>
      <c r="L7" s="3"/>
      <c r="M7" s="3"/>
      <c r="N7" s="3"/>
      <c r="P7" s="1"/>
      <c r="T7" s="1"/>
    </row>
    <row r="8" spans="1:20" ht="15.6" x14ac:dyDescent="0.3">
      <c r="A8" s="17">
        <v>2020</v>
      </c>
      <c r="B8" s="17" t="s">
        <v>7</v>
      </c>
      <c r="C8" s="17" t="s">
        <v>15</v>
      </c>
      <c r="D8" s="18">
        <v>3513</v>
      </c>
      <c r="E8" s="19">
        <v>1059.07</v>
      </c>
      <c r="F8" s="20">
        <v>0.1</v>
      </c>
      <c r="G8" s="21">
        <v>1.6</v>
      </c>
      <c r="H8" s="21">
        <v>1.91</v>
      </c>
      <c r="I8" s="21">
        <v>1.54</v>
      </c>
      <c r="K8" s="2"/>
      <c r="L8" s="3"/>
      <c r="M8" s="3"/>
      <c r="N8" s="3"/>
      <c r="P8" s="1"/>
      <c r="T8" s="1"/>
    </row>
    <row r="9" spans="1:20" ht="15.6" x14ac:dyDescent="0.3">
      <c r="A9" s="17">
        <v>2020</v>
      </c>
      <c r="B9" s="17" t="s">
        <v>8</v>
      </c>
      <c r="C9" s="17" t="s">
        <v>15</v>
      </c>
      <c r="D9" s="18">
        <v>4617</v>
      </c>
      <c r="E9" s="19">
        <v>1152.9000000000001</v>
      </c>
      <c r="F9" s="20">
        <v>0.8</v>
      </c>
      <c r="G9" s="21">
        <v>2.04</v>
      </c>
      <c r="H9" s="21">
        <v>9.0299999999999994</v>
      </c>
      <c r="I9" s="21">
        <v>0.88</v>
      </c>
      <c r="K9" s="2"/>
      <c r="L9" s="3"/>
      <c r="M9" s="3"/>
      <c r="N9" s="3"/>
      <c r="P9" s="1"/>
      <c r="T9" s="1"/>
    </row>
    <row r="10" spans="1:20" ht="15.6" x14ac:dyDescent="0.3">
      <c r="A10" s="17">
        <v>2020</v>
      </c>
      <c r="B10" s="17" t="s">
        <v>9</v>
      </c>
      <c r="C10" s="17" t="s">
        <v>15</v>
      </c>
      <c r="D10" s="18">
        <v>4266</v>
      </c>
      <c r="E10" s="19">
        <v>1086.8699999999999</v>
      </c>
      <c r="F10" s="22" t="s">
        <v>21</v>
      </c>
      <c r="G10" s="21">
        <v>2.04</v>
      </c>
      <c r="H10" s="21">
        <v>9.0299999999999994</v>
      </c>
      <c r="I10" s="21">
        <v>0.88</v>
      </c>
      <c r="K10" s="2"/>
      <c r="L10" s="3"/>
      <c r="M10" s="3"/>
      <c r="N10" s="3"/>
      <c r="P10" s="1"/>
      <c r="T10" s="1"/>
    </row>
    <row r="11" spans="1:20" ht="15.6" x14ac:dyDescent="0.3">
      <c r="A11" s="17">
        <v>2020</v>
      </c>
      <c r="B11" s="17" t="s">
        <v>10</v>
      </c>
      <c r="C11" s="17" t="s">
        <v>15</v>
      </c>
      <c r="D11" s="18">
        <v>5254</v>
      </c>
      <c r="E11" s="19">
        <v>1108.4000000000001</v>
      </c>
      <c r="F11" s="20">
        <v>1.2</v>
      </c>
      <c r="G11" s="21">
        <v>2.04</v>
      </c>
      <c r="H11" s="21">
        <v>9.0299999999999994</v>
      </c>
      <c r="I11" s="21">
        <v>0.88</v>
      </c>
      <c r="K11" s="2"/>
      <c r="L11" s="3"/>
      <c r="M11" s="3"/>
      <c r="N11" s="3"/>
      <c r="P11" s="1"/>
      <c r="T11" s="1"/>
    </row>
    <row r="12" spans="1:20" ht="15.6" x14ac:dyDescent="0.3">
      <c r="A12" s="17">
        <v>2020</v>
      </c>
      <c r="B12" s="17" t="s">
        <v>11</v>
      </c>
      <c r="C12" s="17" t="s">
        <v>15</v>
      </c>
      <c r="D12" s="18">
        <v>5278</v>
      </c>
      <c r="E12" s="19">
        <v>1121.1099999999999</v>
      </c>
      <c r="F12" s="20">
        <v>1.1000000000000001</v>
      </c>
      <c r="G12" s="21">
        <v>1.66</v>
      </c>
      <c r="H12" s="21">
        <v>4.8499999999999996</v>
      </c>
      <c r="I12" s="21">
        <v>1.1100000000000001</v>
      </c>
      <c r="K12" s="2"/>
      <c r="L12" s="3"/>
      <c r="M12" s="3"/>
      <c r="N12" s="3"/>
      <c r="P12" s="1"/>
      <c r="T12" s="1"/>
    </row>
    <row r="13" spans="1:20" ht="15.6" x14ac:dyDescent="0.3">
      <c r="A13" s="17">
        <v>2020</v>
      </c>
      <c r="B13" s="17" t="s">
        <v>12</v>
      </c>
      <c r="C13" s="17" t="s">
        <v>15</v>
      </c>
      <c r="D13" s="18">
        <v>5943</v>
      </c>
      <c r="E13" s="19">
        <v>1079.6600000000001</v>
      </c>
      <c r="F13" s="20">
        <v>0.6</v>
      </c>
      <c r="G13" s="21">
        <v>1.66</v>
      </c>
      <c r="H13" s="21">
        <v>4.8499999999999996</v>
      </c>
      <c r="I13" s="21">
        <v>1.1100000000000001</v>
      </c>
      <c r="K13" s="2"/>
      <c r="L13" s="3"/>
      <c r="M13" s="3"/>
      <c r="N13" s="3"/>
      <c r="P13" s="1"/>
      <c r="T13" s="1"/>
    </row>
    <row r="14" spans="1:20" ht="15.6" x14ac:dyDescent="0.3">
      <c r="A14" s="17">
        <v>2020</v>
      </c>
      <c r="B14" s="17" t="s">
        <v>13</v>
      </c>
      <c r="C14" s="17" t="s">
        <v>15</v>
      </c>
      <c r="D14" s="18">
        <v>5204</v>
      </c>
      <c r="E14" s="19">
        <v>1130.3900000000001</v>
      </c>
      <c r="F14" s="20">
        <v>0.6</v>
      </c>
      <c r="G14" s="21">
        <v>1.66</v>
      </c>
      <c r="H14" s="21">
        <v>4.8499999999999996</v>
      </c>
      <c r="I14" s="21">
        <v>1.1100000000000001</v>
      </c>
      <c r="K14" s="2"/>
      <c r="L14" s="3"/>
      <c r="M14" s="3"/>
      <c r="N14" s="3"/>
      <c r="P14" s="1"/>
      <c r="T14" s="1"/>
    </row>
    <row r="15" spans="1:20" ht="15.6" x14ac:dyDescent="0.3">
      <c r="A15" s="17">
        <v>2021</v>
      </c>
      <c r="B15" s="17" t="s">
        <v>2</v>
      </c>
      <c r="C15" s="17" t="s">
        <v>15</v>
      </c>
      <c r="D15" s="18">
        <v>5547</v>
      </c>
      <c r="E15" s="19">
        <v>1121.5899999999999</v>
      </c>
      <c r="F15" s="20">
        <v>0.6</v>
      </c>
      <c r="G15" s="21">
        <v>1.66</v>
      </c>
      <c r="H15" s="21">
        <v>1.22</v>
      </c>
      <c r="I15" s="21">
        <v>1.23</v>
      </c>
      <c r="K15" s="2"/>
      <c r="L15" s="3"/>
      <c r="M15" s="3"/>
      <c r="N15" s="3"/>
      <c r="P15" s="1"/>
      <c r="T15" s="1"/>
    </row>
    <row r="16" spans="1:20" ht="15.6" x14ac:dyDescent="0.3">
      <c r="A16" s="17">
        <v>2021</v>
      </c>
      <c r="B16" s="17" t="s">
        <v>3</v>
      </c>
      <c r="C16" s="17" t="s">
        <v>15</v>
      </c>
      <c r="D16" s="18">
        <v>5890</v>
      </c>
      <c r="E16" s="19">
        <v>1081.1099999999999</v>
      </c>
      <c r="F16" s="20">
        <v>0.8</v>
      </c>
      <c r="G16" s="21">
        <v>1.66</v>
      </c>
      <c r="H16" s="21">
        <v>1.22</v>
      </c>
      <c r="I16" s="21">
        <v>1.23</v>
      </c>
      <c r="K16" s="2"/>
      <c r="L16" s="3"/>
      <c r="M16" s="3"/>
      <c r="N16" s="3"/>
      <c r="P16" s="1"/>
      <c r="T16" s="1"/>
    </row>
    <row r="17" spans="1:20" ht="15.6" x14ac:dyDescent="0.3">
      <c r="A17" s="17">
        <v>2021</v>
      </c>
      <c r="B17" s="17" t="s">
        <v>4</v>
      </c>
      <c r="C17" s="17" t="s">
        <v>15</v>
      </c>
      <c r="D17" s="18">
        <v>6114</v>
      </c>
      <c r="E17" s="19">
        <v>1104.5</v>
      </c>
      <c r="F17" s="20">
        <v>0.8</v>
      </c>
      <c r="G17" s="21">
        <v>1.66</v>
      </c>
      <c r="H17" s="21">
        <v>1.22</v>
      </c>
      <c r="I17" s="21">
        <v>1.23</v>
      </c>
      <c r="K17" s="2"/>
      <c r="L17" s="3"/>
      <c r="M17" s="3"/>
      <c r="N17" s="3"/>
      <c r="P17" s="1"/>
      <c r="T17" s="1"/>
    </row>
    <row r="18" spans="1:20" ht="15.6" x14ac:dyDescent="0.3">
      <c r="A18" s="17">
        <v>2021</v>
      </c>
      <c r="B18" s="17" t="s">
        <v>5</v>
      </c>
      <c r="C18" s="17" t="s">
        <v>15</v>
      </c>
      <c r="D18" s="18">
        <v>5487</v>
      </c>
      <c r="E18" s="19">
        <v>1121.5999999999999</v>
      </c>
      <c r="F18" s="20">
        <v>1.4</v>
      </c>
      <c r="G18" s="21">
        <v>4.32</v>
      </c>
      <c r="H18" s="21">
        <v>5.3</v>
      </c>
      <c r="I18" s="21">
        <v>4.18</v>
      </c>
      <c r="K18" s="2"/>
      <c r="L18" s="3"/>
      <c r="M18" s="3"/>
      <c r="N18" s="3"/>
      <c r="P18" s="1"/>
      <c r="T18" s="1"/>
    </row>
    <row r="19" spans="1:20" ht="15.6" x14ac:dyDescent="0.3">
      <c r="A19" s="17">
        <v>2021</v>
      </c>
      <c r="B19" s="17" t="s">
        <v>6</v>
      </c>
      <c r="C19" s="17" t="s">
        <v>15</v>
      </c>
      <c r="D19" s="18">
        <v>6692</v>
      </c>
      <c r="E19" s="19">
        <v>1127.3599999999999</v>
      </c>
      <c r="F19" s="20">
        <v>1.1000000000000001</v>
      </c>
      <c r="G19" s="21">
        <v>4.32</v>
      </c>
      <c r="H19" s="21">
        <v>5.3</v>
      </c>
      <c r="I19" s="21">
        <v>4.18</v>
      </c>
      <c r="K19" s="2"/>
      <c r="L19" s="3"/>
      <c r="M19" s="3"/>
      <c r="N19" s="3"/>
      <c r="P19" s="1"/>
      <c r="T19" s="1"/>
    </row>
    <row r="20" spans="1:20" ht="15.6" x14ac:dyDescent="0.3">
      <c r="A20" s="17">
        <v>2021</v>
      </c>
      <c r="B20" s="17" t="s">
        <v>7</v>
      </c>
      <c r="C20" s="17" t="s">
        <v>15</v>
      </c>
      <c r="D20" s="18">
        <v>6747</v>
      </c>
      <c r="E20" s="19">
        <v>1177.74</v>
      </c>
      <c r="F20" s="20">
        <v>1.5</v>
      </c>
      <c r="G20" s="21">
        <v>4.32</v>
      </c>
      <c r="H20" s="21">
        <v>5.3</v>
      </c>
      <c r="I20" s="21">
        <v>4.18</v>
      </c>
      <c r="K20" s="2"/>
      <c r="L20" s="3"/>
      <c r="M20" s="3"/>
      <c r="N20" s="3"/>
      <c r="P20" s="1"/>
      <c r="T20" s="1"/>
    </row>
    <row r="21" spans="1:20" ht="15.6" x14ac:dyDescent="0.3">
      <c r="A21" s="17">
        <v>2021</v>
      </c>
      <c r="B21" s="17" t="s">
        <v>8</v>
      </c>
      <c r="C21" s="17" t="s">
        <v>15</v>
      </c>
      <c r="D21" s="18">
        <v>7291</v>
      </c>
      <c r="E21" s="19">
        <v>1212.72</v>
      </c>
      <c r="F21" s="20">
        <v>0.9</v>
      </c>
      <c r="G21" s="21">
        <v>4.97</v>
      </c>
      <c r="H21" s="21">
        <v>2.3199999999999998</v>
      </c>
      <c r="I21" s="21">
        <v>5.47</v>
      </c>
      <c r="K21" s="2"/>
      <c r="L21" s="3"/>
      <c r="M21" s="3"/>
      <c r="N21" s="3"/>
      <c r="P21" s="1"/>
      <c r="T21" s="1"/>
    </row>
    <row r="22" spans="1:20" ht="15.6" x14ac:dyDescent="0.3">
      <c r="A22" s="17">
        <v>2021</v>
      </c>
      <c r="B22" s="17" t="s">
        <v>9</v>
      </c>
      <c r="C22" s="17" t="s">
        <v>15</v>
      </c>
      <c r="D22" s="18">
        <v>7309</v>
      </c>
      <c r="E22" s="19">
        <v>1178.6400000000001</v>
      </c>
      <c r="F22" s="22" t="s">
        <v>21</v>
      </c>
      <c r="G22" s="21">
        <v>4.97</v>
      </c>
      <c r="H22" s="21">
        <v>2.3199999999999998</v>
      </c>
      <c r="I22" s="21">
        <v>5.47</v>
      </c>
      <c r="K22" s="2"/>
      <c r="L22" s="3"/>
      <c r="M22" s="3"/>
      <c r="N22" s="3"/>
      <c r="P22" s="1"/>
      <c r="T22" s="1"/>
    </row>
    <row r="23" spans="1:20" ht="15.6" x14ac:dyDescent="0.3">
      <c r="A23" s="17">
        <v>2021</v>
      </c>
      <c r="B23" s="17" t="s">
        <v>10</v>
      </c>
      <c r="C23" s="17" t="s">
        <v>15</v>
      </c>
      <c r="D23" s="18">
        <v>7771</v>
      </c>
      <c r="E23" s="19">
        <v>1212.6600000000001</v>
      </c>
      <c r="F23" s="20">
        <v>1.9</v>
      </c>
      <c r="G23" s="21">
        <v>4.97</v>
      </c>
      <c r="H23" s="21">
        <v>2.3199999999999998</v>
      </c>
      <c r="I23" s="21">
        <v>5.47</v>
      </c>
      <c r="K23" s="2"/>
      <c r="L23" s="3"/>
      <c r="M23" s="3"/>
      <c r="N23" s="3"/>
      <c r="P23" s="1"/>
      <c r="T23" s="1"/>
    </row>
    <row r="24" spans="1:20" ht="15.6" x14ac:dyDescent="0.3">
      <c r="A24" s="17">
        <v>2021</v>
      </c>
      <c r="B24" s="17" t="s">
        <v>11</v>
      </c>
      <c r="C24" s="17" t="s">
        <v>15</v>
      </c>
      <c r="D24" s="18">
        <v>6986</v>
      </c>
      <c r="E24" s="19">
        <v>1231.07</v>
      </c>
      <c r="F24" s="20">
        <v>4.4000000000000004</v>
      </c>
      <c r="G24" s="21">
        <v>6.77</v>
      </c>
      <c r="H24" s="21">
        <v>7.1</v>
      </c>
      <c r="I24" s="21">
        <v>6.7</v>
      </c>
      <c r="K24" s="2"/>
      <c r="L24" s="3"/>
      <c r="M24" s="3"/>
      <c r="N24" s="3"/>
      <c r="P24" s="1"/>
      <c r="T24" s="1"/>
    </row>
    <row r="25" spans="1:20" ht="15.6" x14ac:dyDescent="0.3">
      <c r="A25" s="17">
        <v>2021</v>
      </c>
      <c r="B25" s="17" t="s">
        <v>12</v>
      </c>
      <c r="C25" s="17" t="s">
        <v>15</v>
      </c>
      <c r="D25" s="18">
        <v>7317</v>
      </c>
      <c r="E25" s="19">
        <v>1229.3599999999999</v>
      </c>
      <c r="F25" s="20">
        <v>2.4</v>
      </c>
      <c r="G25" s="21">
        <v>6.77</v>
      </c>
      <c r="H25" s="21">
        <v>7.1</v>
      </c>
      <c r="I25" s="21">
        <v>6.7</v>
      </c>
      <c r="K25" s="2"/>
      <c r="L25" s="3"/>
      <c r="M25" s="3"/>
      <c r="N25" s="3"/>
      <c r="P25" s="1"/>
      <c r="T25" s="1"/>
    </row>
    <row r="26" spans="1:20" ht="15.6" x14ac:dyDescent="0.3">
      <c r="A26" s="17">
        <v>2021</v>
      </c>
      <c r="B26" s="17" t="s">
        <v>13</v>
      </c>
      <c r="C26" s="17" t="s">
        <v>15</v>
      </c>
      <c r="D26" s="18">
        <v>7118</v>
      </c>
      <c r="E26" s="19">
        <v>1194.73</v>
      </c>
      <c r="F26" s="20">
        <v>2</v>
      </c>
      <c r="G26" s="21">
        <v>6.77</v>
      </c>
      <c r="H26" s="21">
        <v>7.1</v>
      </c>
      <c r="I26" s="21">
        <v>6.7</v>
      </c>
      <c r="K26" s="2"/>
      <c r="L26" s="3"/>
      <c r="M26" s="3"/>
      <c r="N26" s="3"/>
      <c r="P26" s="1"/>
      <c r="T26" s="1"/>
    </row>
    <row r="27" spans="1:20" ht="15.6" x14ac:dyDescent="0.3">
      <c r="A27" s="17">
        <v>2022</v>
      </c>
      <c r="B27" s="17" t="s">
        <v>2</v>
      </c>
      <c r="C27" s="17" t="s">
        <v>15</v>
      </c>
      <c r="D27" s="18">
        <v>7894</v>
      </c>
      <c r="E27" s="19">
        <v>1289.51</v>
      </c>
      <c r="F27" s="20">
        <v>2.1</v>
      </c>
      <c r="G27" s="21">
        <v>8.94</v>
      </c>
      <c r="H27" s="21">
        <v>10.130000000000001</v>
      </c>
      <c r="I27" s="21">
        <v>8.69</v>
      </c>
      <c r="K27" s="2"/>
      <c r="L27" s="3"/>
      <c r="M27" s="3"/>
      <c r="N27" s="3"/>
      <c r="P27" s="1"/>
      <c r="T27" s="1"/>
    </row>
    <row r="28" spans="1:20" ht="15.6" x14ac:dyDescent="0.3">
      <c r="A28" s="17">
        <v>2022</v>
      </c>
      <c r="B28" s="17" t="s">
        <v>3</v>
      </c>
      <c r="C28" s="17" t="s">
        <v>15</v>
      </c>
      <c r="D28" s="18">
        <v>8009</v>
      </c>
      <c r="E28" s="19">
        <v>1262.71</v>
      </c>
      <c r="F28" s="20">
        <v>3.6</v>
      </c>
      <c r="G28" s="21">
        <v>8.94</v>
      </c>
      <c r="H28" s="21">
        <v>10.130000000000001</v>
      </c>
      <c r="I28" s="21">
        <v>8.69</v>
      </c>
      <c r="K28" s="2"/>
      <c r="L28" s="3"/>
      <c r="M28" s="3"/>
      <c r="N28" s="3"/>
      <c r="P28" s="1"/>
      <c r="T28" s="1"/>
    </row>
    <row r="29" spans="1:20" ht="15.6" x14ac:dyDescent="0.3">
      <c r="A29" s="17">
        <v>2022</v>
      </c>
      <c r="B29" s="17" t="s">
        <v>4</v>
      </c>
      <c r="C29" s="17" t="s">
        <v>15</v>
      </c>
      <c r="D29" s="18">
        <v>8636</v>
      </c>
      <c r="E29" s="19">
        <v>1247.1500000000001</v>
      </c>
      <c r="F29" s="20">
        <v>2.4</v>
      </c>
      <c r="G29" s="21">
        <v>8.94</v>
      </c>
      <c r="H29" s="21">
        <v>10.130000000000001</v>
      </c>
      <c r="I29" s="21">
        <v>8.69</v>
      </c>
      <c r="K29" s="2"/>
      <c r="L29" s="3"/>
      <c r="M29" s="3"/>
      <c r="N29" s="3"/>
      <c r="P29" s="1"/>
      <c r="T29" s="1"/>
    </row>
    <row r="30" spans="1:20" ht="15.6" x14ac:dyDescent="0.3">
      <c r="A30" s="17">
        <v>2022</v>
      </c>
      <c r="B30" s="17" t="s">
        <v>5</v>
      </c>
      <c r="C30" s="17" t="s">
        <v>15</v>
      </c>
      <c r="D30" s="18">
        <v>6359</v>
      </c>
      <c r="E30" s="19">
        <v>1260.23</v>
      </c>
      <c r="F30" s="20">
        <v>1.8</v>
      </c>
      <c r="G30" s="21">
        <v>8.01</v>
      </c>
      <c r="H30" s="21">
        <v>8.73</v>
      </c>
      <c r="I30" s="21">
        <v>7.87</v>
      </c>
      <c r="K30" s="2"/>
      <c r="L30" s="3"/>
      <c r="M30" s="3"/>
      <c r="N30" s="3"/>
      <c r="P30" s="1"/>
      <c r="T30" s="1"/>
    </row>
    <row r="31" spans="1:20" ht="15.6" x14ac:dyDescent="0.3">
      <c r="A31" s="17">
        <v>2022</v>
      </c>
      <c r="B31" s="17" t="s">
        <v>6</v>
      </c>
      <c r="C31" s="17" t="s">
        <v>15</v>
      </c>
      <c r="D31" s="18">
        <v>9575</v>
      </c>
      <c r="E31" s="19">
        <v>1252.22</v>
      </c>
      <c r="F31" s="20">
        <v>3</v>
      </c>
      <c r="G31" s="21">
        <v>8.01</v>
      </c>
      <c r="H31" s="21">
        <v>8.73</v>
      </c>
      <c r="I31" s="21">
        <v>7.87</v>
      </c>
      <c r="K31" s="2"/>
      <c r="L31" s="3"/>
      <c r="M31" s="3"/>
      <c r="N31" s="3"/>
      <c r="P31" s="1"/>
      <c r="T31" s="1"/>
    </row>
    <row r="32" spans="1:20" ht="15.6" x14ac:dyDescent="0.3">
      <c r="A32" s="17">
        <v>2022</v>
      </c>
      <c r="B32" s="17" t="s">
        <v>7</v>
      </c>
      <c r="C32" s="17" t="s">
        <v>15</v>
      </c>
      <c r="D32" s="18">
        <v>9053</v>
      </c>
      <c r="E32" s="19">
        <v>1303.81</v>
      </c>
      <c r="F32" s="20">
        <v>2.1</v>
      </c>
      <c r="G32" s="21">
        <v>8.01</v>
      </c>
      <c r="H32" s="21">
        <v>8.73</v>
      </c>
      <c r="I32" s="21">
        <v>7.87</v>
      </c>
      <c r="K32" s="2"/>
      <c r="L32" s="3"/>
      <c r="M32" s="3"/>
      <c r="N32" s="3"/>
      <c r="P32" s="1"/>
      <c r="T32" s="1"/>
    </row>
    <row r="33" spans="1:20" ht="15.6" x14ac:dyDescent="0.3">
      <c r="A33" s="17">
        <v>2022</v>
      </c>
      <c r="B33" s="17" t="s">
        <v>8</v>
      </c>
      <c r="C33" s="17" t="s">
        <v>15</v>
      </c>
      <c r="D33" s="18">
        <v>8678</v>
      </c>
      <c r="E33" s="19">
        <v>1327.23</v>
      </c>
      <c r="F33" s="20">
        <v>2.1</v>
      </c>
      <c r="G33" s="21">
        <v>6.91</v>
      </c>
      <c r="H33" s="21">
        <v>6.97</v>
      </c>
      <c r="I33" s="21">
        <v>6.91</v>
      </c>
      <c r="K33" s="2"/>
      <c r="L33" s="3"/>
      <c r="M33" s="3"/>
      <c r="N33" s="3"/>
      <c r="P33" s="1"/>
      <c r="T33" s="1"/>
    </row>
    <row r="34" spans="1:20" ht="15.6" x14ac:dyDescent="0.3">
      <c r="A34" s="17">
        <v>2022</v>
      </c>
      <c r="B34" s="17" t="s">
        <v>9</v>
      </c>
      <c r="C34" s="17" t="s">
        <v>15</v>
      </c>
      <c r="D34" s="18">
        <v>8697</v>
      </c>
      <c r="E34" s="19">
        <v>1294.18</v>
      </c>
      <c r="F34" s="22" t="s">
        <v>21</v>
      </c>
      <c r="G34" s="21">
        <v>6.91</v>
      </c>
      <c r="H34" s="21">
        <v>6.97</v>
      </c>
      <c r="I34" s="21">
        <v>6.91</v>
      </c>
      <c r="K34" s="2"/>
      <c r="L34" s="3"/>
      <c r="M34" s="3"/>
      <c r="N34" s="3"/>
      <c r="P34" s="1"/>
      <c r="T34" s="1"/>
    </row>
    <row r="35" spans="1:20" ht="15.6" x14ac:dyDescent="0.3">
      <c r="A35" s="17">
        <v>2022</v>
      </c>
      <c r="B35" s="17" t="s">
        <v>10</v>
      </c>
      <c r="C35" s="17" t="s">
        <v>15</v>
      </c>
      <c r="D35" s="18">
        <v>9225</v>
      </c>
      <c r="E35" s="19">
        <v>1340.02</v>
      </c>
      <c r="F35" s="20">
        <v>3.1</v>
      </c>
      <c r="G35" s="21">
        <v>6.91</v>
      </c>
      <c r="H35" s="21">
        <v>6.97</v>
      </c>
      <c r="I35" s="21">
        <v>6.91</v>
      </c>
      <c r="K35" s="2"/>
      <c r="L35" s="3"/>
      <c r="M35" s="3"/>
      <c r="N35" s="3"/>
      <c r="P35" s="1"/>
      <c r="T35" s="1"/>
    </row>
    <row r="36" spans="1:20" ht="15.6" x14ac:dyDescent="0.3">
      <c r="A36" s="17">
        <v>2022</v>
      </c>
      <c r="B36" s="17" t="s">
        <v>11</v>
      </c>
      <c r="C36" s="17" t="s">
        <v>15</v>
      </c>
      <c r="D36" s="18">
        <v>8236</v>
      </c>
      <c r="E36" s="19">
        <v>1320.57</v>
      </c>
      <c r="F36" s="20">
        <v>2.9</v>
      </c>
      <c r="G36" s="21">
        <v>5.0599999999999996</v>
      </c>
      <c r="H36" s="21">
        <v>6.69</v>
      </c>
      <c r="I36" s="21">
        <v>4.68</v>
      </c>
      <c r="K36" s="2"/>
      <c r="L36" s="3"/>
      <c r="M36" s="3"/>
      <c r="N36" s="3"/>
      <c r="P36" s="1"/>
      <c r="T36" s="1"/>
    </row>
    <row r="37" spans="1:20" ht="15.6" x14ac:dyDescent="0.3">
      <c r="A37" s="17">
        <v>2022</v>
      </c>
      <c r="B37" s="17" t="s">
        <v>12</v>
      </c>
      <c r="C37" s="17" t="s">
        <v>15</v>
      </c>
      <c r="D37" s="18">
        <v>9056</v>
      </c>
      <c r="E37" s="19">
        <v>1266.06</v>
      </c>
      <c r="F37" s="20">
        <v>2.5</v>
      </c>
      <c r="G37" s="21">
        <v>5.0599999999999996</v>
      </c>
      <c r="H37" s="21">
        <v>6.69</v>
      </c>
      <c r="I37" s="21">
        <v>4.68</v>
      </c>
      <c r="K37" s="2"/>
      <c r="L37" s="3"/>
      <c r="M37" s="3"/>
      <c r="N37" s="3"/>
      <c r="P37" s="1"/>
      <c r="T37" s="1"/>
    </row>
    <row r="38" spans="1:20" ht="15.6" x14ac:dyDescent="0.3">
      <c r="A38" s="17">
        <v>2022</v>
      </c>
      <c r="B38" s="17" t="s">
        <v>13</v>
      </c>
      <c r="C38" s="17" t="s">
        <v>15</v>
      </c>
      <c r="D38" s="18">
        <v>7039</v>
      </c>
      <c r="E38" s="19">
        <v>1265</v>
      </c>
      <c r="F38" s="20">
        <v>4.0999999999999996</v>
      </c>
      <c r="G38" s="21">
        <v>5.0599999999999996</v>
      </c>
      <c r="H38" s="21">
        <v>6.69</v>
      </c>
      <c r="I38" s="21">
        <v>4.68</v>
      </c>
      <c r="K38" s="2"/>
      <c r="L38" s="3"/>
      <c r="M38" s="3"/>
      <c r="N38" s="3"/>
      <c r="P38" s="1"/>
      <c r="T38" s="1"/>
    </row>
    <row r="39" spans="1:20" ht="15.6" x14ac:dyDescent="0.3">
      <c r="A39" s="17">
        <v>2023</v>
      </c>
      <c r="B39" s="17" t="s">
        <v>2</v>
      </c>
      <c r="C39" s="17" t="s">
        <v>15</v>
      </c>
      <c r="D39" s="18">
        <v>8986</v>
      </c>
      <c r="E39" s="19">
        <v>1312</v>
      </c>
      <c r="F39" s="20">
        <v>3.4</v>
      </c>
      <c r="G39" s="21">
        <v>3.36</v>
      </c>
      <c r="H39" s="21">
        <v>8.73</v>
      </c>
      <c r="I39" s="21">
        <v>2.33</v>
      </c>
      <c r="K39" s="2"/>
      <c r="L39" s="3"/>
      <c r="M39" s="3"/>
      <c r="N39" s="3"/>
      <c r="P39" s="1"/>
      <c r="T39" s="1"/>
    </row>
    <row r="40" spans="1:20" ht="15.6" x14ac:dyDescent="0.3">
      <c r="A40" s="17">
        <v>2023</v>
      </c>
      <c r="B40" s="17" t="s">
        <v>3</v>
      </c>
      <c r="C40" s="17" t="s">
        <v>15</v>
      </c>
      <c r="D40" s="18">
        <v>8149</v>
      </c>
      <c r="E40" s="19">
        <v>1303</v>
      </c>
      <c r="F40" s="20">
        <v>4.7</v>
      </c>
      <c r="G40" s="21">
        <v>3.36</v>
      </c>
      <c r="H40" s="21">
        <v>8.73</v>
      </c>
      <c r="I40" s="21">
        <v>2.33</v>
      </c>
      <c r="K40" s="2"/>
      <c r="L40" s="3"/>
      <c r="M40" s="3"/>
      <c r="N40" s="3"/>
      <c r="P40" s="1"/>
      <c r="T40" s="1"/>
    </row>
    <row r="41" spans="1:20" ht="15.6" x14ac:dyDescent="0.3">
      <c r="A41" s="17">
        <v>2023</v>
      </c>
      <c r="B41" s="17" t="s">
        <v>4</v>
      </c>
      <c r="C41" s="17" t="s">
        <v>15</v>
      </c>
      <c r="D41" s="18">
        <v>9094</v>
      </c>
      <c r="E41" s="19">
        <v>1326</v>
      </c>
      <c r="F41" s="20">
        <v>4.7</v>
      </c>
      <c r="G41" s="21">
        <v>3.36</v>
      </c>
      <c r="H41" s="21">
        <v>8.73</v>
      </c>
      <c r="I41" s="21">
        <v>2.33</v>
      </c>
      <c r="K41" s="2"/>
      <c r="L41" s="3"/>
      <c r="M41" s="3"/>
      <c r="N41" s="3"/>
      <c r="P41" s="1"/>
      <c r="T41" s="1"/>
    </row>
    <row r="42" spans="1:20" ht="15.6" x14ac:dyDescent="0.3">
      <c r="A42" s="17">
        <v>2023</v>
      </c>
      <c r="B42" s="17" t="s">
        <v>5</v>
      </c>
      <c r="C42" s="17" t="s">
        <v>15</v>
      </c>
      <c r="D42" s="18">
        <v>6702</v>
      </c>
      <c r="E42" s="19">
        <v>1370</v>
      </c>
      <c r="F42" s="20">
        <v>6.7</v>
      </c>
      <c r="G42" s="21">
        <v>3.47</v>
      </c>
      <c r="H42" s="21">
        <v>8.59</v>
      </c>
      <c r="I42" s="21">
        <v>2.4500000000000002</v>
      </c>
      <c r="K42" s="2"/>
      <c r="L42" s="3"/>
      <c r="M42" s="3"/>
      <c r="N42" s="3"/>
      <c r="P42" s="1"/>
      <c r="T42" s="1"/>
    </row>
    <row r="43" spans="1:20" ht="15.6" x14ac:dyDescent="0.3">
      <c r="A43" s="17">
        <v>2023</v>
      </c>
      <c r="B43" s="17" t="s">
        <v>6</v>
      </c>
      <c r="C43" s="17" t="s">
        <v>15</v>
      </c>
      <c r="D43" s="18">
        <v>9464</v>
      </c>
      <c r="E43" s="19">
        <v>1317</v>
      </c>
      <c r="F43" s="20">
        <v>11.5</v>
      </c>
      <c r="G43" s="21">
        <v>3.47</v>
      </c>
      <c r="H43" s="21">
        <v>8.59</v>
      </c>
      <c r="I43" s="21">
        <v>2.4500000000000002</v>
      </c>
      <c r="K43" s="2"/>
      <c r="L43" s="3"/>
      <c r="M43" s="3"/>
      <c r="N43" s="3"/>
      <c r="P43" s="1"/>
      <c r="T43" s="1"/>
    </row>
    <row r="44" spans="1:20" ht="15.6" x14ac:dyDescent="0.3">
      <c r="A44" s="17">
        <v>2023</v>
      </c>
      <c r="B44" s="17" t="s">
        <v>7</v>
      </c>
      <c r="C44" s="17" t="s">
        <v>15</v>
      </c>
      <c r="D44" s="18">
        <v>9157</v>
      </c>
      <c r="E44" s="19">
        <v>1372</v>
      </c>
      <c r="F44" s="20">
        <v>13.3</v>
      </c>
      <c r="G44" s="21">
        <v>3.47</v>
      </c>
      <c r="H44" s="21">
        <v>8.59</v>
      </c>
      <c r="I44" s="21">
        <v>2.4500000000000002</v>
      </c>
      <c r="K44" s="2"/>
      <c r="L44" s="3"/>
      <c r="M44" s="3"/>
      <c r="N44" s="3"/>
      <c r="P44" s="1"/>
      <c r="T44" s="1"/>
    </row>
    <row r="45" spans="1:20" ht="15.6" x14ac:dyDescent="0.3">
      <c r="A45" s="17">
        <v>2023</v>
      </c>
      <c r="B45" s="17" t="s">
        <v>8</v>
      </c>
      <c r="C45" s="17" t="s">
        <v>15</v>
      </c>
      <c r="D45" s="18">
        <v>7973</v>
      </c>
      <c r="E45" s="19">
        <v>1392</v>
      </c>
      <c r="F45" s="20">
        <v>10</v>
      </c>
      <c r="G45" s="21">
        <v>5.08</v>
      </c>
      <c r="H45" s="21">
        <v>11.69</v>
      </c>
      <c r="I45" s="21">
        <v>3.8</v>
      </c>
      <c r="K45" s="2"/>
      <c r="L45" s="3"/>
      <c r="M45" s="3"/>
      <c r="N45" s="3"/>
      <c r="P45" s="1"/>
      <c r="T45" s="1"/>
    </row>
    <row r="46" spans="1:20" ht="15.6" x14ac:dyDescent="0.3">
      <c r="A46" s="17">
        <v>2023</v>
      </c>
      <c r="B46" s="17" t="s">
        <v>9</v>
      </c>
      <c r="C46" s="17" t="s">
        <v>15</v>
      </c>
      <c r="D46" s="18">
        <v>8093</v>
      </c>
      <c r="E46" s="19">
        <v>1407</v>
      </c>
      <c r="F46" s="22" t="s">
        <v>21</v>
      </c>
      <c r="G46" s="21">
        <v>5.08</v>
      </c>
      <c r="H46" s="21">
        <v>11.69</v>
      </c>
      <c r="I46" s="21">
        <v>3.8</v>
      </c>
      <c r="K46" s="2"/>
      <c r="L46" s="3"/>
      <c r="M46" s="3"/>
      <c r="N46" s="3"/>
      <c r="P46" s="1"/>
      <c r="T46" s="1"/>
    </row>
    <row r="47" spans="1:20" ht="15.6" x14ac:dyDescent="0.3">
      <c r="A47" s="17">
        <v>2023</v>
      </c>
      <c r="B47" s="17" t="s">
        <v>10</v>
      </c>
      <c r="C47" s="17" t="s">
        <v>15</v>
      </c>
      <c r="D47" s="18">
        <v>7623</v>
      </c>
      <c r="E47" s="19">
        <v>1410</v>
      </c>
      <c r="F47" s="20">
        <v>6.4</v>
      </c>
      <c r="G47" s="21">
        <v>5.08</v>
      </c>
      <c r="H47" s="21">
        <v>11.69</v>
      </c>
      <c r="I47" s="21">
        <v>3.8</v>
      </c>
      <c r="K47" s="2"/>
      <c r="L47" s="3"/>
      <c r="M47" s="3"/>
      <c r="N47" s="3"/>
      <c r="P47" s="1"/>
      <c r="T47" s="1"/>
    </row>
    <row r="48" spans="1:20" ht="15.6" x14ac:dyDescent="0.3">
      <c r="A48" s="17">
        <v>2023</v>
      </c>
      <c r="B48" s="17" t="s">
        <v>11</v>
      </c>
      <c r="C48" s="17" t="s">
        <v>15</v>
      </c>
      <c r="D48" s="18">
        <v>7299</v>
      </c>
      <c r="E48" s="19">
        <v>1381</v>
      </c>
      <c r="F48" s="20">
        <v>7.5</v>
      </c>
      <c r="G48" s="21">
        <v>4.24</v>
      </c>
      <c r="H48" s="21">
        <v>6.84</v>
      </c>
      <c r="I48" s="21">
        <v>3.78</v>
      </c>
      <c r="K48" s="2"/>
      <c r="L48" s="3"/>
      <c r="M48" s="3"/>
      <c r="N48" s="3"/>
      <c r="P48" s="1"/>
      <c r="T48" s="1"/>
    </row>
    <row r="49" spans="1:20" ht="15.6" x14ac:dyDescent="0.3">
      <c r="A49" s="17">
        <v>2023</v>
      </c>
      <c r="B49" s="17" t="s">
        <v>12</v>
      </c>
      <c r="C49" s="17" t="s">
        <v>15</v>
      </c>
      <c r="D49" s="18">
        <v>7924</v>
      </c>
      <c r="E49" s="19">
        <v>1328</v>
      </c>
      <c r="F49" s="20">
        <v>5.5</v>
      </c>
      <c r="G49" s="21">
        <v>4.24</v>
      </c>
      <c r="H49" s="21">
        <v>6.84</v>
      </c>
      <c r="I49" s="21">
        <v>3.78</v>
      </c>
      <c r="K49" s="2"/>
      <c r="L49" s="3"/>
      <c r="M49" s="3"/>
      <c r="N49" s="3"/>
      <c r="P49" s="1"/>
      <c r="T49" s="1"/>
    </row>
    <row r="50" spans="1:20" ht="15.6" x14ac:dyDescent="0.3">
      <c r="A50" s="17">
        <v>2023</v>
      </c>
      <c r="B50" s="17" t="s">
        <v>13</v>
      </c>
      <c r="C50" s="17" t="s">
        <v>15</v>
      </c>
      <c r="D50" s="18">
        <v>5634</v>
      </c>
      <c r="E50" s="19">
        <v>1362</v>
      </c>
      <c r="F50" s="22" t="s">
        <v>21</v>
      </c>
      <c r="G50" s="21">
        <v>4.24</v>
      </c>
      <c r="H50" s="21">
        <v>6.84</v>
      </c>
      <c r="I50" s="21">
        <v>3.78</v>
      </c>
      <c r="K50" s="2"/>
      <c r="L50" s="3"/>
      <c r="M50" s="3"/>
      <c r="N50" s="3"/>
      <c r="P50" s="1"/>
      <c r="T50" s="1"/>
    </row>
    <row r="51" spans="1:20" ht="15.6" x14ac:dyDescent="0.3">
      <c r="A51" s="17">
        <v>2024</v>
      </c>
      <c r="B51" s="17" t="s">
        <v>2</v>
      </c>
      <c r="C51" s="17" t="s">
        <v>15</v>
      </c>
      <c r="D51" s="18">
        <v>8469</v>
      </c>
      <c r="E51" s="19">
        <v>1405</v>
      </c>
      <c r="F51" s="20">
        <v>7.3</v>
      </c>
      <c r="G51" s="21">
        <v>6.5</v>
      </c>
      <c r="H51" s="21">
        <v>8.1999999999999993</v>
      </c>
      <c r="I51" s="21">
        <v>6.21</v>
      </c>
      <c r="K51" s="2"/>
      <c r="L51" s="3"/>
      <c r="M51" s="3"/>
      <c r="N51" s="3"/>
      <c r="P51" s="1"/>
      <c r="T51" s="1"/>
    </row>
    <row r="52" spans="1:20" ht="15.6" x14ac:dyDescent="0.3">
      <c r="A52" s="17">
        <v>2024</v>
      </c>
      <c r="B52" s="17" t="s">
        <v>3</v>
      </c>
      <c r="C52" s="17" t="s">
        <v>15</v>
      </c>
      <c r="D52" s="18">
        <v>9154</v>
      </c>
      <c r="E52" s="19">
        <v>1401</v>
      </c>
      <c r="F52" s="20">
        <v>7.9</v>
      </c>
      <c r="G52" s="21">
        <v>6.5</v>
      </c>
      <c r="H52" s="21">
        <v>8.1999999999999993</v>
      </c>
      <c r="I52" s="21">
        <v>6.21</v>
      </c>
      <c r="K52" s="2"/>
      <c r="L52" s="3"/>
      <c r="M52" s="3"/>
      <c r="N52" s="3"/>
      <c r="P52" s="1"/>
      <c r="T52" s="1"/>
    </row>
    <row r="53" spans="1:20" ht="15.6" x14ac:dyDescent="0.3">
      <c r="A53" s="17">
        <v>2024</v>
      </c>
      <c r="B53" s="17" t="s">
        <v>4</v>
      </c>
      <c r="C53" s="17" t="s">
        <v>15</v>
      </c>
      <c r="D53" s="18">
        <v>7423</v>
      </c>
      <c r="E53" s="19">
        <v>1446</v>
      </c>
      <c r="F53" s="20">
        <v>9.1</v>
      </c>
      <c r="G53" s="21">
        <v>6.5</v>
      </c>
      <c r="H53" s="21">
        <v>8.1999999999999993</v>
      </c>
      <c r="I53" s="21">
        <v>6.21</v>
      </c>
      <c r="K53" s="2"/>
      <c r="L53" s="3"/>
      <c r="M53" s="3"/>
      <c r="N53" s="3"/>
      <c r="P53" s="1"/>
      <c r="T53" s="1"/>
    </row>
    <row r="54" spans="1:20" ht="15.6" x14ac:dyDescent="0.3">
      <c r="A54" s="17">
        <v>2024</v>
      </c>
      <c r="B54" s="17" t="s">
        <v>5</v>
      </c>
      <c r="C54" s="17" t="s">
        <v>15</v>
      </c>
      <c r="D54" s="18">
        <v>8263</v>
      </c>
      <c r="E54" s="19">
        <v>1419</v>
      </c>
      <c r="F54" s="20">
        <v>9.5</v>
      </c>
      <c r="G54" s="21">
        <v>8.6</v>
      </c>
      <c r="H54" s="21">
        <v>11.57</v>
      </c>
      <c r="I54" s="21">
        <v>8.11</v>
      </c>
      <c r="K54" s="2"/>
      <c r="L54" s="3"/>
      <c r="M54" s="3"/>
      <c r="N54" s="3"/>
      <c r="P54" s="1"/>
      <c r="T54" s="1"/>
    </row>
    <row r="55" spans="1:20" ht="15.6" x14ac:dyDescent="0.3">
      <c r="A55" s="17">
        <v>2024</v>
      </c>
      <c r="B55" s="17" t="s">
        <v>6</v>
      </c>
      <c r="C55" s="17" t="s">
        <v>15</v>
      </c>
      <c r="D55" s="23">
        <v>7418</v>
      </c>
      <c r="E55" s="19">
        <v>1470</v>
      </c>
      <c r="F55" s="20">
        <v>12</v>
      </c>
      <c r="G55" s="21">
        <v>8.6</v>
      </c>
      <c r="H55" s="21">
        <v>11.57</v>
      </c>
      <c r="I55" s="21">
        <v>8.11</v>
      </c>
      <c r="K55" s="2"/>
      <c r="L55" s="3"/>
      <c r="M55" s="3"/>
      <c r="N55" s="3"/>
      <c r="P55" s="1"/>
      <c r="T55" s="1"/>
    </row>
    <row r="56" spans="1:20" ht="15.6" x14ac:dyDescent="0.3">
      <c r="A56" s="17">
        <v>2024</v>
      </c>
      <c r="B56" s="17" t="s">
        <v>7</v>
      </c>
      <c r="C56" s="17" t="s">
        <v>15</v>
      </c>
      <c r="D56" s="18">
        <v>7894</v>
      </c>
      <c r="E56" s="19">
        <v>1454</v>
      </c>
      <c r="F56" s="20">
        <v>21.2</v>
      </c>
      <c r="G56" s="21">
        <v>8.6</v>
      </c>
      <c r="H56" s="21">
        <v>11.57</v>
      </c>
      <c r="I56" s="21">
        <v>8.11</v>
      </c>
      <c r="K56" s="2"/>
      <c r="L56" s="3"/>
      <c r="M56" s="3"/>
      <c r="N56" s="3"/>
      <c r="P56" s="1"/>
    </row>
    <row r="57" spans="1:20" ht="15.6" x14ac:dyDescent="0.3">
      <c r="A57" s="17">
        <v>2024</v>
      </c>
      <c r="B57" s="17" t="s">
        <v>8</v>
      </c>
      <c r="C57" s="17" t="s">
        <v>15</v>
      </c>
      <c r="D57" s="18">
        <v>9408</v>
      </c>
      <c r="E57" s="19">
        <v>1454</v>
      </c>
      <c r="F57" s="20">
        <v>13.1</v>
      </c>
      <c r="G57" s="21">
        <v>8.8000000000000007</v>
      </c>
      <c r="H57" s="21">
        <v>8.59</v>
      </c>
      <c r="I57" s="21">
        <v>8.8699999999999992</v>
      </c>
      <c r="K57" s="2"/>
      <c r="L57" s="3"/>
      <c r="M57" s="3"/>
      <c r="N57" s="3"/>
      <c r="P57" s="1"/>
    </row>
    <row r="58" spans="1:20" ht="15.6" x14ac:dyDescent="0.3">
      <c r="A58" s="17">
        <v>2024</v>
      </c>
      <c r="B58" s="17" t="s">
        <v>9</v>
      </c>
      <c r="C58" s="17" t="s">
        <v>15</v>
      </c>
      <c r="D58" s="18">
        <v>7923</v>
      </c>
      <c r="E58" s="19">
        <v>1488</v>
      </c>
      <c r="F58" s="22" t="s">
        <v>21</v>
      </c>
      <c r="G58" s="21">
        <v>8.8000000000000007</v>
      </c>
      <c r="H58" s="21">
        <v>8.59</v>
      </c>
      <c r="I58" s="21">
        <v>8.8699999999999992</v>
      </c>
      <c r="K58" s="2"/>
      <c r="L58" s="3"/>
      <c r="M58" s="3"/>
      <c r="N58" s="3"/>
      <c r="P58" s="1"/>
    </row>
    <row r="59" spans="1:20" ht="15.6" x14ac:dyDescent="0.3">
      <c r="A59" s="17">
        <v>2024</v>
      </c>
      <c r="B59" s="17" t="s">
        <v>10</v>
      </c>
      <c r="C59" s="17" t="s">
        <v>15</v>
      </c>
      <c r="D59" s="18">
        <v>10801</v>
      </c>
      <c r="E59" s="19">
        <v>1454</v>
      </c>
      <c r="F59" s="20">
        <v>15.4</v>
      </c>
      <c r="G59" s="21">
        <v>8.8000000000000007</v>
      </c>
      <c r="H59" s="21">
        <v>8.59</v>
      </c>
      <c r="I59" s="21">
        <v>8.8699999999999992</v>
      </c>
      <c r="K59" s="2"/>
      <c r="L59" s="3"/>
      <c r="M59" s="3"/>
      <c r="N59" s="3"/>
      <c r="P59" s="1"/>
    </row>
    <row r="60" spans="1:20" ht="15.6" x14ac:dyDescent="0.3">
      <c r="A60" s="17">
        <v>2024</v>
      </c>
      <c r="B60" s="17" t="s">
        <v>11</v>
      </c>
      <c r="C60" s="17" t="s">
        <v>15</v>
      </c>
      <c r="D60" s="24">
        <v>10984</v>
      </c>
      <c r="E60" s="19">
        <v>1457</v>
      </c>
      <c r="F60" s="25">
        <v>22.7</v>
      </c>
      <c r="G60" s="26">
        <v>8.1999999999999993</v>
      </c>
      <c r="H60" s="26">
        <v>8.8000000000000007</v>
      </c>
      <c r="I60" s="27">
        <v>9.1999999999999993</v>
      </c>
      <c r="K60" s="2"/>
      <c r="L60" s="3"/>
      <c r="M60" s="3"/>
      <c r="N60" s="3"/>
      <c r="P60" s="1"/>
    </row>
    <row r="61" spans="1:20" ht="15.6" x14ac:dyDescent="0.3">
      <c r="A61" s="17">
        <v>2024</v>
      </c>
      <c r="B61" s="17" t="s">
        <v>12</v>
      </c>
      <c r="C61" s="17" t="s">
        <v>15</v>
      </c>
      <c r="D61" s="28">
        <v>8550</v>
      </c>
      <c r="E61" s="29">
        <v>1472</v>
      </c>
      <c r="F61" s="30">
        <v>22.5</v>
      </c>
      <c r="G61" s="31">
        <v>8.1999999999999993</v>
      </c>
      <c r="H61" s="31">
        <v>8.8000000000000007</v>
      </c>
      <c r="I61" s="32">
        <v>9.1999999999999993</v>
      </c>
      <c r="K61" s="2"/>
      <c r="L61" s="3"/>
      <c r="M61" s="3"/>
      <c r="N61" s="3"/>
      <c r="P61" s="1"/>
    </row>
    <row r="62" spans="1:20" ht="15.6" x14ac:dyDescent="0.3">
      <c r="A62" s="17">
        <v>2024</v>
      </c>
      <c r="B62" s="17" t="s">
        <v>13</v>
      </c>
      <c r="C62" s="17" t="s">
        <v>15</v>
      </c>
      <c r="D62" s="24">
        <v>8486</v>
      </c>
      <c r="E62" s="33">
        <v>1491</v>
      </c>
      <c r="F62" s="25">
        <v>22.3</v>
      </c>
      <c r="G62" s="26">
        <v>8.1999999999999993</v>
      </c>
      <c r="H62" s="26">
        <v>8.8000000000000007</v>
      </c>
      <c r="I62" s="27">
        <v>9.1999999999999993</v>
      </c>
      <c r="K62" s="2"/>
      <c r="L62" s="3"/>
      <c r="M62" s="3"/>
      <c r="N62" s="3"/>
      <c r="P62" s="1"/>
    </row>
    <row r="63" spans="1:20" ht="15.6" x14ac:dyDescent="0.3">
      <c r="A63" s="34">
        <v>2020</v>
      </c>
      <c r="B63" s="34" t="s">
        <v>2</v>
      </c>
      <c r="C63" s="34" t="s">
        <v>14</v>
      </c>
      <c r="D63" s="35">
        <v>47017</v>
      </c>
      <c r="E63" s="19">
        <v>1492.84</v>
      </c>
      <c r="F63" s="20">
        <v>2.6</v>
      </c>
      <c r="G63" s="20">
        <v>3.21</v>
      </c>
      <c r="H63" s="21">
        <v>6.14</v>
      </c>
      <c r="I63" s="21">
        <v>2.71</v>
      </c>
      <c r="K63" s="2"/>
      <c r="L63" s="3"/>
      <c r="M63" s="3"/>
      <c r="N63" s="3"/>
    </row>
    <row r="64" spans="1:20" x14ac:dyDescent="0.3">
      <c r="A64" s="34">
        <v>2020</v>
      </c>
      <c r="B64" s="34" t="s">
        <v>3</v>
      </c>
      <c r="C64" s="34" t="s">
        <v>14</v>
      </c>
      <c r="D64" s="35">
        <v>45102</v>
      </c>
      <c r="E64" s="19">
        <v>1439.09</v>
      </c>
      <c r="F64" s="20">
        <v>1.7</v>
      </c>
      <c r="G64" s="20">
        <v>3.21</v>
      </c>
      <c r="H64" s="21">
        <v>6.14</v>
      </c>
      <c r="I64" s="21">
        <v>2.71</v>
      </c>
    </row>
    <row r="65" spans="1:9" x14ac:dyDescent="0.3">
      <c r="A65" s="34">
        <v>2020</v>
      </c>
      <c r="B65" s="34" t="s">
        <v>4</v>
      </c>
      <c r="C65" s="34" t="s">
        <v>14</v>
      </c>
      <c r="D65" s="35">
        <v>35745</v>
      </c>
      <c r="E65" s="19">
        <v>1451.93</v>
      </c>
      <c r="F65" s="20">
        <v>2.8</v>
      </c>
      <c r="G65" s="20">
        <v>3.21</v>
      </c>
      <c r="H65" s="21">
        <v>6.14</v>
      </c>
      <c r="I65" s="21">
        <v>2.71</v>
      </c>
    </row>
    <row r="66" spans="1:9" x14ac:dyDescent="0.3">
      <c r="A66" s="34">
        <v>2020</v>
      </c>
      <c r="B66" s="34" t="s">
        <v>5</v>
      </c>
      <c r="C66" s="34" t="s">
        <v>14</v>
      </c>
      <c r="D66" s="35">
        <v>25439</v>
      </c>
      <c r="E66" s="19">
        <v>1513.19</v>
      </c>
      <c r="F66" s="22" t="s">
        <v>21</v>
      </c>
      <c r="G66" s="20">
        <v>2.11</v>
      </c>
      <c r="H66" s="21">
        <v>4.1500000000000004</v>
      </c>
      <c r="I66" s="21">
        <v>1.79</v>
      </c>
    </row>
    <row r="67" spans="1:9" x14ac:dyDescent="0.3">
      <c r="A67" s="34">
        <v>2020</v>
      </c>
      <c r="B67" s="34" t="s">
        <v>6</v>
      </c>
      <c r="C67" s="34" t="s">
        <v>14</v>
      </c>
      <c r="D67" s="35">
        <v>22652</v>
      </c>
      <c r="E67" s="19">
        <v>1482.59</v>
      </c>
      <c r="F67" s="20">
        <v>1.7</v>
      </c>
      <c r="G67" s="20">
        <v>2.11</v>
      </c>
      <c r="H67" s="21">
        <v>4.1500000000000004</v>
      </c>
      <c r="I67" s="21">
        <v>1.79</v>
      </c>
    </row>
    <row r="68" spans="1:9" x14ac:dyDescent="0.3">
      <c r="A68" s="34">
        <v>2020</v>
      </c>
      <c r="B68" s="34" t="s">
        <v>7</v>
      </c>
      <c r="C68" s="34" t="s">
        <v>14</v>
      </c>
      <c r="D68" s="35">
        <v>27788</v>
      </c>
      <c r="E68" s="19">
        <v>1439.29</v>
      </c>
      <c r="F68" s="20">
        <v>0.1</v>
      </c>
      <c r="G68" s="20">
        <v>2.11</v>
      </c>
      <c r="H68" s="21">
        <v>4.1500000000000004</v>
      </c>
      <c r="I68" s="21">
        <v>1.79</v>
      </c>
    </row>
    <row r="69" spans="1:9" x14ac:dyDescent="0.3">
      <c r="A69" s="34">
        <v>2020</v>
      </c>
      <c r="B69" s="34" t="s">
        <v>8</v>
      </c>
      <c r="C69" s="34" t="s">
        <v>14</v>
      </c>
      <c r="D69" s="35">
        <v>32751</v>
      </c>
      <c r="E69" s="19">
        <v>1443.68</v>
      </c>
      <c r="F69" s="20">
        <v>0.8</v>
      </c>
      <c r="G69" s="20">
        <v>1.68</v>
      </c>
      <c r="H69" s="21">
        <v>7.46</v>
      </c>
      <c r="I69" s="21">
        <v>0.76</v>
      </c>
    </row>
    <row r="70" spans="1:9" x14ac:dyDescent="0.3">
      <c r="A70" s="34">
        <v>2020</v>
      </c>
      <c r="B70" s="34" t="s">
        <v>9</v>
      </c>
      <c r="C70" s="34" t="s">
        <v>14</v>
      </c>
      <c r="D70" s="35">
        <v>31592</v>
      </c>
      <c r="E70" s="19">
        <v>1294</v>
      </c>
      <c r="F70" s="22" t="s">
        <v>21</v>
      </c>
      <c r="G70" s="20">
        <v>1.68</v>
      </c>
      <c r="H70" s="21">
        <v>7.46</v>
      </c>
      <c r="I70" s="21">
        <v>0.76</v>
      </c>
    </row>
    <row r="71" spans="1:9" x14ac:dyDescent="0.3">
      <c r="A71" s="34">
        <v>2020</v>
      </c>
      <c r="B71" s="34" t="s">
        <v>10</v>
      </c>
      <c r="C71" s="34" t="s">
        <v>14</v>
      </c>
      <c r="D71" s="35">
        <v>37982</v>
      </c>
      <c r="E71" s="19">
        <v>1374</v>
      </c>
      <c r="F71" s="20">
        <v>1.2</v>
      </c>
      <c r="G71" s="20">
        <v>1.68</v>
      </c>
      <c r="H71" s="21">
        <v>7.46</v>
      </c>
      <c r="I71" s="21">
        <v>0.76</v>
      </c>
    </row>
    <row r="72" spans="1:9" x14ac:dyDescent="0.3">
      <c r="A72" s="34">
        <v>2020</v>
      </c>
      <c r="B72" s="34" t="s">
        <v>11</v>
      </c>
      <c r="C72" s="34" t="s">
        <v>14</v>
      </c>
      <c r="D72" s="35">
        <v>37832</v>
      </c>
      <c r="E72" s="19">
        <v>1377</v>
      </c>
      <c r="F72" s="20">
        <v>1.1000000000000001</v>
      </c>
      <c r="G72" s="20">
        <v>1.48</v>
      </c>
      <c r="H72" s="21">
        <v>8.1999999999999993</v>
      </c>
      <c r="I72" s="21">
        <v>0.4</v>
      </c>
    </row>
    <row r="73" spans="1:9" x14ac:dyDescent="0.3">
      <c r="A73" s="34">
        <v>2020</v>
      </c>
      <c r="B73" s="34" t="s">
        <v>12</v>
      </c>
      <c r="C73" s="34" t="s">
        <v>14</v>
      </c>
      <c r="D73" s="35">
        <v>40119</v>
      </c>
      <c r="E73" s="19">
        <v>1398</v>
      </c>
      <c r="F73" s="20">
        <v>0.6</v>
      </c>
      <c r="G73" s="20">
        <v>1.48</v>
      </c>
      <c r="H73" s="21">
        <v>8.1999999999999993</v>
      </c>
      <c r="I73" s="21">
        <v>0.4</v>
      </c>
    </row>
    <row r="74" spans="1:9" x14ac:dyDescent="0.3">
      <c r="A74" s="34">
        <v>2020</v>
      </c>
      <c r="B74" s="34" t="s">
        <v>13</v>
      </c>
      <c r="C74" s="34" t="s">
        <v>14</v>
      </c>
      <c r="D74" s="35">
        <v>36219</v>
      </c>
      <c r="E74" s="19">
        <v>1463</v>
      </c>
      <c r="F74" s="20">
        <v>0.6</v>
      </c>
      <c r="G74" s="20">
        <v>1.48</v>
      </c>
      <c r="H74" s="21">
        <v>8.1999999999999993</v>
      </c>
      <c r="I74" s="21">
        <v>0.4</v>
      </c>
    </row>
    <row r="75" spans="1:9" x14ac:dyDescent="0.3">
      <c r="A75" s="17">
        <v>2021</v>
      </c>
      <c r="B75" s="34" t="s">
        <v>2</v>
      </c>
      <c r="C75" s="34" t="s">
        <v>14</v>
      </c>
      <c r="D75" s="35">
        <v>40213</v>
      </c>
      <c r="E75" s="19">
        <v>1497</v>
      </c>
      <c r="F75" s="20">
        <v>0.6</v>
      </c>
      <c r="G75" s="20">
        <v>0.9</v>
      </c>
      <c r="H75" s="21">
        <v>2.3199999999999998</v>
      </c>
      <c r="I75" s="21">
        <v>0.7</v>
      </c>
    </row>
    <row r="76" spans="1:9" x14ac:dyDescent="0.3">
      <c r="A76" s="17">
        <v>2021</v>
      </c>
      <c r="B76" s="34" t="s">
        <v>3</v>
      </c>
      <c r="C76" s="34" t="s">
        <v>14</v>
      </c>
      <c r="D76" s="35">
        <v>43251</v>
      </c>
      <c r="E76" s="19">
        <v>1428</v>
      </c>
      <c r="F76" s="20">
        <v>0.8</v>
      </c>
      <c r="G76" s="20">
        <v>0.9</v>
      </c>
      <c r="H76" s="21">
        <v>2.3199999999999998</v>
      </c>
      <c r="I76" s="21">
        <v>0.7</v>
      </c>
    </row>
    <row r="77" spans="1:9" x14ac:dyDescent="0.3">
      <c r="A77" s="17">
        <v>2021</v>
      </c>
      <c r="B77" s="34" t="s">
        <v>4</v>
      </c>
      <c r="C77" s="34" t="s">
        <v>14</v>
      </c>
      <c r="D77" s="35">
        <v>47188</v>
      </c>
      <c r="E77" s="19">
        <v>1449</v>
      </c>
      <c r="F77" s="20">
        <v>0.8</v>
      </c>
      <c r="G77" s="20">
        <v>0.9</v>
      </c>
      <c r="H77" s="21">
        <v>2.3199999999999998</v>
      </c>
      <c r="I77" s="21">
        <v>0.7</v>
      </c>
    </row>
    <row r="78" spans="1:9" x14ac:dyDescent="0.3">
      <c r="A78" s="17">
        <v>2021</v>
      </c>
      <c r="B78" s="34" t="s">
        <v>5</v>
      </c>
      <c r="C78" s="34" t="s">
        <v>14</v>
      </c>
      <c r="D78" s="35">
        <v>42328</v>
      </c>
      <c r="E78" s="19">
        <v>1479</v>
      </c>
      <c r="F78" s="20">
        <v>1.4</v>
      </c>
      <c r="G78" s="20">
        <v>3.26</v>
      </c>
      <c r="H78" s="21">
        <v>6.01</v>
      </c>
      <c r="I78" s="21">
        <v>2.9</v>
      </c>
    </row>
    <row r="79" spans="1:9" x14ac:dyDescent="0.3">
      <c r="A79" s="17">
        <v>2021</v>
      </c>
      <c r="B79" s="34" t="s">
        <v>6</v>
      </c>
      <c r="C79" s="34" t="s">
        <v>14</v>
      </c>
      <c r="D79" s="35">
        <v>47036</v>
      </c>
      <c r="E79" s="19">
        <v>1490</v>
      </c>
      <c r="F79" s="20">
        <v>1.1000000000000001</v>
      </c>
      <c r="G79" s="20">
        <v>3.26</v>
      </c>
      <c r="H79" s="21">
        <v>6.01</v>
      </c>
      <c r="I79" s="21">
        <v>2.9</v>
      </c>
    </row>
    <row r="80" spans="1:9" x14ac:dyDescent="0.3">
      <c r="A80" s="17">
        <v>2021</v>
      </c>
      <c r="B80" s="34" t="s">
        <v>7</v>
      </c>
      <c r="C80" s="34" t="s">
        <v>14</v>
      </c>
      <c r="D80" s="35">
        <v>48815</v>
      </c>
      <c r="E80" s="19">
        <v>1533.11</v>
      </c>
      <c r="F80" s="20">
        <v>1.5</v>
      </c>
      <c r="G80" s="20">
        <v>3.26</v>
      </c>
      <c r="H80" s="21">
        <v>6.01</v>
      </c>
      <c r="I80" s="21">
        <v>2.9</v>
      </c>
    </row>
    <row r="81" spans="1:9" x14ac:dyDescent="0.3">
      <c r="A81" s="17">
        <v>2021</v>
      </c>
      <c r="B81" s="34" t="s">
        <v>8</v>
      </c>
      <c r="C81" s="34" t="s">
        <v>14</v>
      </c>
      <c r="D81" s="35">
        <v>49732</v>
      </c>
      <c r="E81" s="19">
        <v>1579.11</v>
      </c>
      <c r="F81" s="20">
        <v>0.9</v>
      </c>
      <c r="G81" s="20">
        <v>4.21</v>
      </c>
      <c r="H81" s="21">
        <v>4.07</v>
      </c>
      <c r="I81" s="21">
        <v>4.29</v>
      </c>
    </row>
    <row r="82" spans="1:9" x14ac:dyDescent="0.3">
      <c r="A82" s="17">
        <v>2021</v>
      </c>
      <c r="B82" s="34" t="s">
        <v>9</v>
      </c>
      <c r="C82" s="34" t="s">
        <v>14</v>
      </c>
      <c r="D82" s="35">
        <v>49899</v>
      </c>
      <c r="E82" s="19">
        <v>1430.9</v>
      </c>
      <c r="F82" s="22" t="s">
        <v>21</v>
      </c>
      <c r="G82" s="20">
        <v>4.21</v>
      </c>
      <c r="H82" s="21">
        <v>4.07</v>
      </c>
      <c r="I82" s="21">
        <v>4.29</v>
      </c>
    </row>
    <row r="83" spans="1:9" x14ac:dyDescent="0.3">
      <c r="A83" s="17">
        <v>2021</v>
      </c>
      <c r="B83" s="34" t="s">
        <v>10</v>
      </c>
      <c r="C83" s="34" t="s">
        <v>14</v>
      </c>
      <c r="D83" s="35">
        <v>53619</v>
      </c>
      <c r="E83" s="19">
        <v>1539.56</v>
      </c>
      <c r="F83" s="20">
        <v>1.9</v>
      </c>
      <c r="G83" s="20">
        <v>4.21</v>
      </c>
      <c r="H83" s="21">
        <v>4.07</v>
      </c>
      <c r="I83" s="21">
        <v>4.29</v>
      </c>
    </row>
    <row r="84" spans="1:9" x14ac:dyDescent="0.3">
      <c r="A84" s="17">
        <v>2021</v>
      </c>
      <c r="B84" s="34" t="s">
        <v>11</v>
      </c>
      <c r="C84" s="34" t="s">
        <v>14</v>
      </c>
      <c r="D84" s="35">
        <v>46346</v>
      </c>
      <c r="E84" s="19">
        <v>1527.16</v>
      </c>
      <c r="F84" s="20">
        <v>4.4000000000000004</v>
      </c>
      <c r="G84" s="20">
        <v>6.38</v>
      </c>
      <c r="H84" s="21">
        <v>6.06</v>
      </c>
      <c r="I84" s="21">
        <v>6.44</v>
      </c>
    </row>
    <row r="85" spans="1:9" x14ac:dyDescent="0.3">
      <c r="A85" s="17">
        <v>2021</v>
      </c>
      <c r="B85" s="34" t="s">
        <v>12</v>
      </c>
      <c r="C85" s="34" t="s">
        <v>14</v>
      </c>
      <c r="D85" s="35">
        <v>49779</v>
      </c>
      <c r="E85" s="19">
        <v>1551</v>
      </c>
      <c r="F85" s="20">
        <v>2.4</v>
      </c>
      <c r="G85" s="20">
        <v>6.38</v>
      </c>
      <c r="H85" s="21">
        <v>6.06</v>
      </c>
      <c r="I85" s="21">
        <v>6.44</v>
      </c>
    </row>
    <row r="86" spans="1:9" x14ac:dyDescent="0.3">
      <c r="A86" s="17">
        <v>2021</v>
      </c>
      <c r="B86" s="34" t="s">
        <v>13</v>
      </c>
      <c r="C86" s="34" t="s">
        <v>14</v>
      </c>
      <c r="D86" s="35">
        <v>48279</v>
      </c>
      <c r="E86" s="19">
        <v>1582</v>
      </c>
      <c r="F86" s="20">
        <v>2</v>
      </c>
      <c r="G86" s="20">
        <v>6.38</v>
      </c>
      <c r="H86" s="21">
        <v>6.06</v>
      </c>
      <c r="I86" s="21">
        <v>6.44</v>
      </c>
    </row>
    <row r="87" spans="1:9" x14ac:dyDescent="0.3">
      <c r="A87" s="17">
        <v>2022</v>
      </c>
      <c r="B87" s="34" t="s">
        <v>2</v>
      </c>
      <c r="C87" s="34" t="s">
        <v>14</v>
      </c>
      <c r="D87" s="35">
        <v>52902</v>
      </c>
      <c r="E87" s="19">
        <v>1651</v>
      </c>
      <c r="F87" s="20">
        <v>2.1</v>
      </c>
      <c r="G87" s="20">
        <v>8.5399999999999991</v>
      </c>
      <c r="H87" s="21">
        <v>10.08</v>
      </c>
      <c r="I87" s="21">
        <v>8.2100000000000009</v>
      </c>
    </row>
    <row r="88" spans="1:9" x14ac:dyDescent="0.3">
      <c r="A88" s="17">
        <v>2022</v>
      </c>
      <c r="B88" s="34" t="s">
        <v>3</v>
      </c>
      <c r="C88" s="34" t="s">
        <v>14</v>
      </c>
      <c r="D88" s="35">
        <v>53739</v>
      </c>
      <c r="E88" s="19">
        <v>1578</v>
      </c>
      <c r="F88" s="20">
        <v>3.6</v>
      </c>
      <c r="G88" s="20">
        <v>8.5399999999999991</v>
      </c>
      <c r="H88" s="21">
        <v>10.08</v>
      </c>
      <c r="I88" s="21">
        <v>8.2100000000000009</v>
      </c>
    </row>
    <row r="89" spans="1:9" x14ac:dyDescent="0.3">
      <c r="A89" s="17">
        <v>2022</v>
      </c>
      <c r="B89" s="34" t="s">
        <v>4</v>
      </c>
      <c r="C89" s="34" t="s">
        <v>14</v>
      </c>
      <c r="D89" s="35">
        <v>59158</v>
      </c>
      <c r="E89" s="19">
        <v>1622</v>
      </c>
      <c r="F89" s="20">
        <v>2.4</v>
      </c>
      <c r="G89" s="20">
        <v>8.5399999999999991</v>
      </c>
      <c r="H89" s="21">
        <v>10.08</v>
      </c>
      <c r="I89" s="21">
        <v>8.2100000000000009</v>
      </c>
    </row>
    <row r="90" spans="1:9" x14ac:dyDescent="0.3">
      <c r="A90" s="17">
        <v>2022</v>
      </c>
      <c r="B90" s="34" t="s">
        <v>5</v>
      </c>
      <c r="C90" s="34" t="s">
        <v>14</v>
      </c>
      <c r="D90" s="35">
        <v>47139</v>
      </c>
      <c r="E90" s="19">
        <v>1607</v>
      </c>
      <c r="F90" s="20">
        <v>1.8</v>
      </c>
      <c r="G90" s="20">
        <v>8.02</v>
      </c>
      <c r="H90" s="21">
        <v>8.8000000000000007</v>
      </c>
      <c r="I90" s="21">
        <v>7.86</v>
      </c>
    </row>
    <row r="91" spans="1:9" x14ac:dyDescent="0.3">
      <c r="A91" s="17">
        <v>2022</v>
      </c>
      <c r="B91" s="34" t="s">
        <v>6</v>
      </c>
      <c r="C91" s="34" t="s">
        <v>14</v>
      </c>
      <c r="D91" s="35">
        <v>59984</v>
      </c>
      <c r="E91" s="19">
        <v>1604</v>
      </c>
      <c r="F91" s="20">
        <v>3</v>
      </c>
      <c r="G91" s="20">
        <v>8.02</v>
      </c>
      <c r="H91" s="21">
        <v>8.8000000000000007</v>
      </c>
      <c r="I91" s="21">
        <v>7.86</v>
      </c>
    </row>
    <row r="92" spans="1:9" x14ac:dyDescent="0.3">
      <c r="A92" s="17">
        <v>2022</v>
      </c>
      <c r="B92" s="34" t="s">
        <v>7</v>
      </c>
      <c r="C92" s="34" t="s">
        <v>14</v>
      </c>
      <c r="D92" s="35">
        <v>57686</v>
      </c>
      <c r="E92" s="19">
        <v>1644</v>
      </c>
      <c r="F92" s="20">
        <v>2.1</v>
      </c>
      <c r="G92" s="20">
        <v>8.02</v>
      </c>
      <c r="H92" s="21">
        <v>8.8000000000000007</v>
      </c>
      <c r="I92" s="21">
        <v>7.86</v>
      </c>
    </row>
    <row r="93" spans="1:9" x14ac:dyDescent="0.3">
      <c r="A93" s="17">
        <v>2022</v>
      </c>
      <c r="B93" s="34" t="s">
        <v>8</v>
      </c>
      <c r="C93" s="34" t="s">
        <v>14</v>
      </c>
      <c r="D93" s="35">
        <v>53987</v>
      </c>
      <c r="E93" s="19">
        <v>1695</v>
      </c>
      <c r="F93" s="20">
        <v>2.1</v>
      </c>
      <c r="G93" s="20">
        <v>7.64</v>
      </c>
      <c r="H93" s="21">
        <v>6.8</v>
      </c>
      <c r="I93" s="21">
        <v>7.83</v>
      </c>
    </row>
    <row r="94" spans="1:9" x14ac:dyDescent="0.3">
      <c r="A94" s="17">
        <v>2022</v>
      </c>
      <c r="B94" s="34" t="s">
        <v>9</v>
      </c>
      <c r="C94" s="34" t="s">
        <v>14</v>
      </c>
      <c r="D94" s="35">
        <v>57548</v>
      </c>
      <c r="E94" s="19">
        <v>1498</v>
      </c>
      <c r="F94" s="22" t="s">
        <v>21</v>
      </c>
      <c r="G94" s="20">
        <v>7.64</v>
      </c>
      <c r="H94" s="21">
        <v>6.8</v>
      </c>
      <c r="I94" s="21">
        <v>7.83</v>
      </c>
    </row>
    <row r="95" spans="1:9" x14ac:dyDescent="0.3">
      <c r="A95" s="17">
        <v>2022</v>
      </c>
      <c r="B95" s="34" t="s">
        <v>10</v>
      </c>
      <c r="C95" s="34" t="s">
        <v>14</v>
      </c>
      <c r="D95" s="35">
        <v>57757</v>
      </c>
      <c r="E95" s="19">
        <v>1660</v>
      </c>
      <c r="F95" s="20">
        <v>3.1</v>
      </c>
      <c r="G95" s="20">
        <v>7.64</v>
      </c>
      <c r="H95" s="21">
        <v>6.8</v>
      </c>
      <c r="I95" s="21">
        <v>7.83</v>
      </c>
    </row>
    <row r="96" spans="1:9" x14ac:dyDescent="0.3">
      <c r="A96" s="17">
        <v>2022</v>
      </c>
      <c r="B96" s="34" t="s">
        <v>11</v>
      </c>
      <c r="C96" s="34" t="s">
        <v>14</v>
      </c>
      <c r="D96" s="35">
        <v>51628</v>
      </c>
      <c r="E96" s="19">
        <v>1605</v>
      </c>
      <c r="F96" s="20">
        <v>2.9</v>
      </c>
      <c r="G96" s="20">
        <v>5.45</v>
      </c>
      <c r="H96" s="21">
        <v>6.16</v>
      </c>
      <c r="I96" s="21">
        <v>5.3</v>
      </c>
    </row>
    <row r="97" spans="1:9" x14ac:dyDescent="0.3">
      <c r="A97" s="17">
        <v>2022</v>
      </c>
      <c r="B97" s="34" t="s">
        <v>12</v>
      </c>
      <c r="C97" s="34" t="s">
        <v>14</v>
      </c>
      <c r="D97" s="35">
        <v>55245</v>
      </c>
      <c r="E97" s="19">
        <v>1570</v>
      </c>
      <c r="F97" s="20">
        <v>2.5</v>
      </c>
      <c r="G97" s="20">
        <v>5.45</v>
      </c>
      <c r="H97" s="21">
        <v>6.16</v>
      </c>
      <c r="I97" s="21">
        <v>5.3</v>
      </c>
    </row>
    <row r="98" spans="1:9" x14ac:dyDescent="0.3">
      <c r="A98" s="17">
        <v>2022</v>
      </c>
      <c r="B98" s="34" t="s">
        <v>13</v>
      </c>
      <c r="C98" s="34" t="s">
        <v>14</v>
      </c>
      <c r="D98" s="35">
        <v>43492</v>
      </c>
      <c r="E98" s="19">
        <v>1594</v>
      </c>
      <c r="F98" s="20">
        <v>4.0999999999999996</v>
      </c>
      <c r="G98" s="20">
        <v>5.45</v>
      </c>
      <c r="H98" s="21">
        <v>6.16</v>
      </c>
      <c r="I98" s="21">
        <v>5.3</v>
      </c>
    </row>
    <row r="99" spans="1:9" x14ac:dyDescent="0.3">
      <c r="A99" s="17">
        <v>2023</v>
      </c>
      <c r="B99" s="34" t="s">
        <v>2</v>
      </c>
      <c r="C99" s="34" t="s">
        <v>14</v>
      </c>
      <c r="D99" s="35">
        <v>55496</v>
      </c>
      <c r="E99" s="19">
        <v>1627</v>
      </c>
      <c r="F99" s="20">
        <v>3.4</v>
      </c>
      <c r="G99" s="20">
        <v>3.49</v>
      </c>
      <c r="H99" s="21">
        <v>5.97</v>
      </c>
      <c r="I99" s="21">
        <v>3.04</v>
      </c>
    </row>
    <row r="100" spans="1:9" x14ac:dyDescent="0.3">
      <c r="A100" s="17">
        <v>2023</v>
      </c>
      <c r="B100" s="34" t="s">
        <v>3</v>
      </c>
      <c r="C100" s="34" t="s">
        <v>14</v>
      </c>
      <c r="D100" s="35">
        <v>49915</v>
      </c>
      <c r="E100" s="19">
        <v>1582</v>
      </c>
      <c r="F100" s="20">
        <v>4.7</v>
      </c>
      <c r="G100" s="20">
        <v>3.49</v>
      </c>
      <c r="H100" s="21">
        <v>5.97</v>
      </c>
      <c r="I100" s="21">
        <v>3.04</v>
      </c>
    </row>
    <row r="101" spans="1:9" x14ac:dyDescent="0.3">
      <c r="A101" s="17">
        <v>2023</v>
      </c>
      <c r="B101" s="34" t="s">
        <v>4</v>
      </c>
      <c r="C101" s="34" t="s">
        <v>14</v>
      </c>
      <c r="D101" s="35">
        <v>55599</v>
      </c>
      <c r="E101" s="19">
        <v>1580</v>
      </c>
      <c r="F101" s="20">
        <v>4.7</v>
      </c>
      <c r="G101" s="20">
        <v>3.49</v>
      </c>
      <c r="H101" s="21">
        <v>5.97</v>
      </c>
      <c r="I101" s="21">
        <v>3.04</v>
      </c>
    </row>
    <row r="102" spans="1:9" x14ac:dyDescent="0.3">
      <c r="A102" s="17">
        <v>2023</v>
      </c>
      <c r="B102" s="34" t="s">
        <v>5</v>
      </c>
      <c r="C102" s="34" t="s">
        <v>14</v>
      </c>
      <c r="D102" s="35">
        <v>42799</v>
      </c>
      <c r="E102" s="19">
        <v>1622</v>
      </c>
      <c r="F102" s="20">
        <v>6.7</v>
      </c>
      <c r="G102" s="20">
        <v>3.64</v>
      </c>
      <c r="H102" s="21">
        <v>7.66</v>
      </c>
      <c r="I102" s="21">
        <v>2.87</v>
      </c>
    </row>
    <row r="103" spans="1:9" x14ac:dyDescent="0.3">
      <c r="A103" s="17">
        <v>2023</v>
      </c>
      <c r="B103" s="34" t="s">
        <v>6</v>
      </c>
      <c r="C103" s="34" t="s">
        <v>14</v>
      </c>
      <c r="D103" s="35">
        <v>56096</v>
      </c>
      <c r="E103" s="19">
        <v>1616</v>
      </c>
      <c r="F103" s="20">
        <v>11.5</v>
      </c>
      <c r="G103" s="20">
        <v>3.64</v>
      </c>
      <c r="H103" s="21">
        <v>7.66</v>
      </c>
      <c r="I103" s="21">
        <v>2.87</v>
      </c>
    </row>
    <row r="104" spans="1:9" x14ac:dyDescent="0.3">
      <c r="A104" s="17">
        <v>2023</v>
      </c>
      <c r="B104" s="34" t="s">
        <v>7</v>
      </c>
      <c r="C104" s="34" t="s">
        <v>14</v>
      </c>
      <c r="D104" s="35">
        <v>53367</v>
      </c>
      <c r="E104" s="19">
        <v>1622</v>
      </c>
      <c r="F104" s="20">
        <v>13.3</v>
      </c>
      <c r="G104" s="20">
        <v>3.64</v>
      </c>
      <c r="H104" s="21">
        <v>7.66</v>
      </c>
      <c r="I104" s="21">
        <v>2.87</v>
      </c>
    </row>
    <row r="105" spans="1:9" x14ac:dyDescent="0.3">
      <c r="A105" s="17">
        <v>2023</v>
      </c>
      <c r="B105" s="34" t="s">
        <v>8</v>
      </c>
      <c r="C105" s="34" t="s">
        <v>14</v>
      </c>
      <c r="D105" s="35">
        <v>47984</v>
      </c>
      <c r="E105" s="19">
        <v>1617</v>
      </c>
      <c r="F105" s="20">
        <v>10</v>
      </c>
      <c r="G105" s="20">
        <v>4.46</v>
      </c>
      <c r="H105" s="21">
        <v>11</v>
      </c>
      <c r="I105" s="21">
        <v>3.22</v>
      </c>
    </row>
    <row r="106" spans="1:9" x14ac:dyDescent="0.3">
      <c r="A106" s="17">
        <v>2023</v>
      </c>
      <c r="B106" s="34" t="s">
        <v>9</v>
      </c>
      <c r="C106" s="34" t="s">
        <v>14</v>
      </c>
      <c r="D106" s="35">
        <v>49014</v>
      </c>
      <c r="E106" s="19">
        <v>1526</v>
      </c>
      <c r="F106" s="22" t="s">
        <v>21</v>
      </c>
      <c r="G106" s="20">
        <v>4.46</v>
      </c>
      <c r="H106" s="21">
        <v>11</v>
      </c>
      <c r="I106" s="21">
        <v>3.22</v>
      </c>
    </row>
    <row r="107" spans="1:9" x14ac:dyDescent="0.3">
      <c r="A107" s="17">
        <v>2023</v>
      </c>
      <c r="B107" s="34" t="s">
        <v>10</v>
      </c>
      <c r="C107" s="34" t="s">
        <v>14</v>
      </c>
      <c r="D107" s="35">
        <v>43739</v>
      </c>
      <c r="E107" s="19">
        <v>1643</v>
      </c>
      <c r="F107" s="20">
        <v>6.4</v>
      </c>
      <c r="G107" s="20">
        <v>4.46</v>
      </c>
      <c r="H107" s="21">
        <v>11</v>
      </c>
      <c r="I107" s="21">
        <v>3.22</v>
      </c>
    </row>
    <row r="108" spans="1:9" x14ac:dyDescent="0.3">
      <c r="A108" s="17">
        <v>2023</v>
      </c>
      <c r="B108" s="34" t="s">
        <v>11</v>
      </c>
      <c r="C108" s="34" t="s">
        <v>14</v>
      </c>
      <c r="D108" s="35">
        <v>45879</v>
      </c>
      <c r="E108" s="19">
        <v>1644</v>
      </c>
      <c r="F108" s="20">
        <v>7.5</v>
      </c>
      <c r="G108" s="20">
        <v>4.22</v>
      </c>
      <c r="H108" s="21">
        <v>7.47</v>
      </c>
      <c r="I108" s="21">
        <v>3.64</v>
      </c>
    </row>
    <row r="109" spans="1:9" x14ac:dyDescent="0.3">
      <c r="A109" s="17">
        <v>2023</v>
      </c>
      <c r="B109" s="34" t="s">
        <v>12</v>
      </c>
      <c r="C109" s="34" t="s">
        <v>14</v>
      </c>
      <c r="D109" s="35">
        <v>47203</v>
      </c>
      <c r="E109" s="19">
        <v>1623</v>
      </c>
      <c r="F109" s="20">
        <v>5.5</v>
      </c>
      <c r="G109" s="20">
        <v>4.22</v>
      </c>
      <c r="H109" s="21">
        <v>7.47</v>
      </c>
      <c r="I109" s="21">
        <v>3.64</v>
      </c>
    </row>
    <row r="110" spans="1:9" x14ac:dyDescent="0.3">
      <c r="A110" s="17">
        <v>2023</v>
      </c>
      <c r="B110" s="34" t="s">
        <v>13</v>
      </c>
      <c r="C110" s="34" t="s">
        <v>14</v>
      </c>
      <c r="D110" s="35">
        <v>36560</v>
      </c>
      <c r="E110" s="19">
        <v>1687</v>
      </c>
      <c r="F110" s="22" t="s">
        <v>21</v>
      </c>
      <c r="G110" s="20">
        <v>4.22</v>
      </c>
      <c r="H110" s="21">
        <v>7.47</v>
      </c>
      <c r="I110" s="21">
        <v>3.64</v>
      </c>
    </row>
    <row r="111" spans="1:9" x14ac:dyDescent="0.3">
      <c r="A111" s="17">
        <v>2024</v>
      </c>
      <c r="B111" s="34" t="s">
        <v>2</v>
      </c>
      <c r="C111" s="34" t="s">
        <v>14</v>
      </c>
      <c r="D111" s="35">
        <v>54346</v>
      </c>
      <c r="E111" s="19">
        <v>1706</v>
      </c>
      <c r="F111" s="20">
        <v>7.3</v>
      </c>
      <c r="G111" s="20">
        <v>6.29</v>
      </c>
      <c r="H111" s="21">
        <v>10.08</v>
      </c>
      <c r="I111" s="21">
        <v>5.65</v>
      </c>
    </row>
    <row r="112" spans="1:9" x14ac:dyDescent="0.3">
      <c r="A112" s="17">
        <v>2024</v>
      </c>
      <c r="B112" s="34" t="s">
        <v>3</v>
      </c>
      <c r="C112" s="34" t="s">
        <v>14</v>
      </c>
      <c r="D112" s="35">
        <v>52796</v>
      </c>
      <c r="E112" s="19">
        <v>1649</v>
      </c>
      <c r="F112" s="20">
        <v>7.9</v>
      </c>
      <c r="G112" s="20">
        <v>6.29</v>
      </c>
      <c r="H112" s="21">
        <v>10.08</v>
      </c>
      <c r="I112" s="21">
        <v>5.65</v>
      </c>
    </row>
    <row r="113" spans="1:9" x14ac:dyDescent="0.3">
      <c r="A113" s="17">
        <v>2024</v>
      </c>
      <c r="B113" s="34" t="s">
        <v>4</v>
      </c>
      <c r="C113" s="34" t="s">
        <v>14</v>
      </c>
      <c r="D113" s="35">
        <v>44878</v>
      </c>
      <c r="E113" s="19">
        <v>1683</v>
      </c>
      <c r="F113" s="20">
        <v>9.1</v>
      </c>
      <c r="G113" s="20">
        <v>6.29</v>
      </c>
      <c r="H113" s="21">
        <v>10.08</v>
      </c>
      <c r="I113" s="21">
        <v>5.65</v>
      </c>
    </row>
    <row r="114" spans="1:9" x14ac:dyDescent="0.3">
      <c r="A114" s="17">
        <v>2024</v>
      </c>
      <c r="B114" s="34" t="s">
        <v>5</v>
      </c>
      <c r="C114" s="34" t="s">
        <v>14</v>
      </c>
      <c r="D114" s="35">
        <v>53091</v>
      </c>
      <c r="E114" s="19">
        <v>1669</v>
      </c>
      <c r="F114" s="20">
        <v>9.5</v>
      </c>
      <c r="G114" s="20">
        <v>7.8</v>
      </c>
      <c r="H114" s="21">
        <v>11.22</v>
      </c>
      <c r="I114" s="21">
        <v>7.27</v>
      </c>
    </row>
    <row r="115" spans="1:9" x14ac:dyDescent="0.3">
      <c r="A115" s="17">
        <v>2024</v>
      </c>
      <c r="B115" s="34" t="s">
        <v>6</v>
      </c>
      <c r="C115" s="34" t="s">
        <v>14</v>
      </c>
      <c r="D115" s="35">
        <v>44013</v>
      </c>
      <c r="E115" s="19">
        <v>1710</v>
      </c>
      <c r="F115" s="20">
        <v>12</v>
      </c>
      <c r="G115" s="20">
        <v>7.8</v>
      </c>
      <c r="H115" s="21">
        <v>11.22</v>
      </c>
      <c r="I115" s="21">
        <v>7.27</v>
      </c>
    </row>
    <row r="116" spans="1:9" x14ac:dyDescent="0.3">
      <c r="A116" s="17">
        <v>2024</v>
      </c>
      <c r="B116" s="34" t="s">
        <v>7</v>
      </c>
      <c r="C116" s="34" t="s">
        <v>14</v>
      </c>
      <c r="D116" s="35">
        <v>50099</v>
      </c>
      <c r="E116" s="19">
        <v>1741</v>
      </c>
      <c r="F116" s="20">
        <v>21.2</v>
      </c>
      <c r="G116" s="20">
        <v>7.8</v>
      </c>
      <c r="H116" s="21">
        <v>11.22</v>
      </c>
      <c r="I116" s="21">
        <v>7.27</v>
      </c>
    </row>
    <row r="117" spans="1:9" x14ac:dyDescent="0.3">
      <c r="A117" s="17">
        <v>2024</v>
      </c>
      <c r="B117" s="34" t="s">
        <v>8</v>
      </c>
      <c r="C117" s="34" t="s">
        <v>14</v>
      </c>
      <c r="D117" s="35">
        <v>57302</v>
      </c>
      <c r="E117" s="19">
        <v>1731</v>
      </c>
      <c r="F117" s="20">
        <v>13.1</v>
      </c>
      <c r="G117" s="20">
        <v>8.1</v>
      </c>
      <c r="H117" s="21">
        <v>9.84</v>
      </c>
      <c r="I117" s="21">
        <v>7.87</v>
      </c>
    </row>
    <row r="118" spans="1:9" x14ac:dyDescent="0.3">
      <c r="A118" s="17">
        <v>2024</v>
      </c>
      <c r="B118" s="34" t="s">
        <v>9</v>
      </c>
      <c r="C118" s="34" t="s">
        <v>14</v>
      </c>
      <c r="D118" s="35">
        <v>49453</v>
      </c>
      <c r="E118" s="19">
        <v>1599</v>
      </c>
      <c r="F118" s="22" t="s">
        <v>21</v>
      </c>
      <c r="G118" s="20">
        <v>8.1</v>
      </c>
      <c r="H118" s="21">
        <v>9.84</v>
      </c>
      <c r="I118" s="21">
        <v>7.87</v>
      </c>
    </row>
    <row r="119" spans="1:9" x14ac:dyDescent="0.3">
      <c r="A119" s="17">
        <v>2024</v>
      </c>
      <c r="B119" s="34" t="s">
        <v>10</v>
      </c>
      <c r="C119" s="34" t="s">
        <v>14</v>
      </c>
      <c r="D119" s="35">
        <v>61887</v>
      </c>
      <c r="E119" s="19">
        <v>1813</v>
      </c>
      <c r="F119" s="20">
        <v>15.4</v>
      </c>
      <c r="G119" s="20">
        <v>8.1</v>
      </c>
      <c r="H119" s="21">
        <v>9.84</v>
      </c>
      <c r="I119" s="21">
        <v>7.87</v>
      </c>
    </row>
    <row r="120" spans="1:9" x14ac:dyDescent="0.3">
      <c r="A120" s="17">
        <v>2024</v>
      </c>
      <c r="B120" s="34" t="s">
        <v>11</v>
      </c>
      <c r="C120" s="34" t="s">
        <v>14</v>
      </c>
      <c r="D120" s="24">
        <v>69418</v>
      </c>
      <c r="E120" s="19">
        <v>1693</v>
      </c>
      <c r="F120" s="26">
        <v>22.7</v>
      </c>
      <c r="G120" s="26">
        <v>8.4</v>
      </c>
      <c r="H120" s="26">
        <v>10.3</v>
      </c>
      <c r="I120" s="36">
        <v>8.1</v>
      </c>
    </row>
    <row r="121" spans="1:9" x14ac:dyDescent="0.3">
      <c r="A121" s="17">
        <v>2024</v>
      </c>
      <c r="B121" s="34" t="s">
        <v>12</v>
      </c>
      <c r="C121" s="34" t="s">
        <v>14</v>
      </c>
      <c r="D121" s="28">
        <v>54299</v>
      </c>
      <c r="E121" s="37">
        <v>1723</v>
      </c>
      <c r="F121" s="31">
        <v>22.5</v>
      </c>
      <c r="G121" s="31">
        <v>8.4</v>
      </c>
      <c r="H121" s="31">
        <v>10.3</v>
      </c>
      <c r="I121" s="38">
        <v>8.1</v>
      </c>
    </row>
    <row r="122" spans="1:9" ht="15" thickBot="1" x14ac:dyDescent="0.35">
      <c r="A122" s="17">
        <v>2024</v>
      </c>
      <c r="B122" s="34" t="s">
        <v>13</v>
      </c>
      <c r="C122" s="34" t="s">
        <v>14</v>
      </c>
      <c r="D122" s="39">
        <v>50337</v>
      </c>
      <c r="E122" s="40">
        <v>1768</v>
      </c>
      <c r="F122" s="41">
        <v>22.3</v>
      </c>
      <c r="G122" s="41">
        <v>8.4</v>
      </c>
      <c r="H122" s="41">
        <v>10.3</v>
      </c>
      <c r="I122" s="42">
        <v>8.1</v>
      </c>
    </row>
  </sheetData>
  <sheetProtection sheet="1" objects="1" scenarios="1"/>
  <phoneticPr fontId="8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FE85-11D0-48BF-BFDC-C7F4064C01A5}">
  <sheetPr codeName="Hoja2"/>
  <dimension ref="A1:M88"/>
  <sheetViews>
    <sheetView showGridLines="0" tabSelected="1" topLeftCell="G1" zoomScaleNormal="100" workbookViewId="0">
      <selection activeCell="J4" sqref="J4"/>
    </sheetView>
  </sheetViews>
  <sheetFormatPr baseColWidth="10" defaultRowHeight="14.4" outlineLevelCol="1" x14ac:dyDescent="0.3"/>
  <cols>
    <col min="1" max="1" width="19.44140625" hidden="1" customWidth="1" outlineLevel="1"/>
    <col min="2" max="2" width="21.44140625" hidden="1" customWidth="1" outlineLevel="1"/>
    <col min="3" max="3" width="11.88671875" hidden="1" customWidth="1" outlineLevel="1"/>
    <col min="4" max="4" width="13.33203125" hidden="1" customWidth="1" outlineLevel="1"/>
    <col min="5" max="5" width="13.109375" hidden="1" customWidth="1" outlineLevel="1"/>
    <col min="6" max="6" width="17.21875" hidden="1" customWidth="1" outlineLevel="1"/>
    <col min="7" max="7" width="26.88671875" customWidth="1" collapsed="1"/>
    <col min="8" max="8" width="23.77734375" customWidth="1"/>
    <col min="9" max="9" width="22.88671875" customWidth="1"/>
    <col min="10" max="10" width="23.5546875" customWidth="1"/>
    <col min="11" max="11" width="22.5546875" customWidth="1"/>
    <col min="12" max="12" width="34.6640625" customWidth="1"/>
    <col min="13" max="13" width="18.6640625" style="15" customWidth="1"/>
    <col min="14" max="14" width="25.6640625" customWidth="1"/>
    <col min="15" max="15" width="27.109375" customWidth="1"/>
    <col min="16" max="16" width="26.88671875" bestFit="1" customWidth="1"/>
    <col min="17" max="17" width="27.109375" bestFit="1" customWidth="1"/>
    <col min="18" max="18" width="26.88671875" bestFit="1" customWidth="1"/>
    <col min="19" max="19" width="31.88671875" bestFit="1" customWidth="1"/>
    <col min="20" max="20" width="31.6640625" bestFit="1" customWidth="1"/>
    <col min="21" max="23" width="6.88671875" bestFit="1" customWidth="1"/>
    <col min="24" max="24" width="9.5546875" bestFit="1" customWidth="1"/>
    <col min="25" max="29" width="7.88671875" bestFit="1" customWidth="1"/>
    <col min="30" max="30" width="10.5546875" bestFit="1" customWidth="1"/>
    <col min="31" max="35" width="7.44140625" bestFit="1" customWidth="1"/>
    <col min="36" max="36" width="10.109375" bestFit="1" customWidth="1"/>
    <col min="37" max="41" width="6.77734375" bestFit="1" customWidth="1"/>
    <col min="42" max="42" width="9.44140625" bestFit="1" customWidth="1"/>
    <col min="43" max="47" width="8.88671875" bestFit="1" customWidth="1"/>
    <col min="48" max="48" width="11.5546875" bestFit="1" customWidth="1"/>
    <col min="49" max="53" width="12.6640625" bestFit="1" customWidth="1"/>
    <col min="54" max="54" width="15.33203125" bestFit="1" customWidth="1"/>
    <col min="55" max="59" width="9.77734375" bestFit="1" customWidth="1"/>
    <col min="60" max="60" width="12.44140625" bestFit="1" customWidth="1"/>
    <col min="61" max="64" width="12.33203125" bestFit="1" customWidth="1"/>
    <col min="65" max="65" width="15" bestFit="1" customWidth="1"/>
    <col min="66" max="69" width="11.44140625" bestFit="1" customWidth="1"/>
    <col min="70" max="70" width="14.109375" bestFit="1" customWidth="1"/>
    <col min="71" max="71" width="11.88671875" bestFit="1" customWidth="1"/>
    <col min="72" max="72" width="10.21875" bestFit="1" customWidth="1"/>
    <col min="73" max="73" width="6.5546875" bestFit="1" customWidth="1"/>
    <col min="74" max="74" width="10.21875" bestFit="1" customWidth="1"/>
    <col min="75" max="75" width="6.5546875" bestFit="1" customWidth="1"/>
    <col min="76" max="76" width="10.21875" bestFit="1" customWidth="1"/>
    <col min="77" max="77" width="6.5546875" bestFit="1" customWidth="1"/>
    <col min="78" max="78" width="10.21875" bestFit="1" customWidth="1"/>
    <col min="79" max="79" width="6.5546875" bestFit="1" customWidth="1"/>
    <col min="80" max="80" width="10.21875" bestFit="1" customWidth="1"/>
    <col min="81" max="81" width="6.5546875" bestFit="1" customWidth="1"/>
    <col min="82" max="82" width="10.21875" bestFit="1" customWidth="1"/>
    <col min="83" max="83" width="6.5546875" bestFit="1" customWidth="1"/>
    <col min="84" max="84" width="10.21875" bestFit="1" customWidth="1"/>
    <col min="85" max="85" width="6.5546875" bestFit="1" customWidth="1"/>
    <col min="86" max="86" width="10.21875" bestFit="1" customWidth="1"/>
    <col min="87" max="87" width="6.5546875" bestFit="1" customWidth="1"/>
    <col min="88" max="88" width="10.21875" bestFit="1" customWidth="1"/>
    <col min="89" max="89" width="6.5546875" bestFit="1" customWidth="1"/>
    <col min="90" max="90" width="10.21875" bestFit="1" customWidth="1"/>
    <col min="91" max="91" width="6.5546875" bestFit="1" customWidth="1"/>
    <col min="92" max="92" width="10.21875" bestFit="1" customWidth="1"/>
    <col min="93" max="93" width="6.5546875" bestFit="1" customWidth="1"/>
    <col min="94" max="94" width="10.21875" bestFit="1" customWidth="1"/>
    <col min="95" max="95" width="6.5546875" bestFit="1" customWidth="1"/>
    <col min="96" max="96" width="10.21875" bestFit="1" customWidth="1"/>
    <col min="97" max="97" width="6.5546875" bestFit="1" customWidth="1"/>
    <col min="98" max="98" width="10.21875" bestFit="1" customWidth="1"/>
    <col min="99" max="99" width="6.5546875" bestFit="1" customWidth="1"/>
    <col min="100" max="100" width="10.21875" bestFit="1" customWidth="1"/>
    <col min="101" max="101" width="6.5546875" bestFit="1" customWidth="1"/>
    <col min="102" max="102" width="10.21875" bestFit="1" customWidth="1"/>
    <col min="103" max="103" width="6.5546875" bestFit="1" customWidth="1"/>
    <col min="104" max="104" width="10.21875" bestFit="1" customWidth="1"/>
    <col min="105" max="105" width="6.5546875" bestFit="1" customWidth="1"/>
    <col min="106" max="106" width="10.21875" bestFit="1" customWidth="1"/>
    <col min="107" max="107" width="6.5546875" bestFit="1" customWidth="1"/>
    <col min="108" max="108" width="10.21875" bestFit="1" customWidth="1"/>
    <col min="109" max="109" width="6.5546875" bestFit="1" customWidth="1"/>
    <col min="110" max="110" width="10.21875" bestFit="1" customWidth="1"/>
    <col min="111" max="111" width="6.5546875" bestFit="1" customWidth="1"/>
    <col min="112" max="112" width="10.21875" bestFit="1" customWidth="1"/>
    <col min="113" max="113" width="6.5546875" bestFit="1" customWidth="1"/>
    <col min="114" max="114" width="11.21875" bestFit="1" customWidth="1"/>
    <col min="115" max="115" width="6.5546875" bestFit="1" customWidth="1"/>
    <col min="116" max="116" width="11.21875" bestFit="1" customWidth="1"/>
    <col min="117" max="117" width="11.88671875" bestFit="1" customWidth="1"/>
    <col min="118" max="118" width="19.77734375" bestFit="1" customWidth="1"/>
    <col min="119" max="119" width="14.77734375" bestFit="1" customWidth="1"/>
    <col min="120" max="120" width="24.88671875" bestFit="1" customWidth="1"/>
    <col min="121" max="121" width="19.88671875" bestFit="1" customWidth="1"/>
    <col min="122" max="122" width="19.77734375" bestFit="1" customWidth="1"/>
    <col min="123" max="123" width="14.77734375" bestFit="1" customWidth="1"/>
    <col min="124" max="124" width="24.88671875" bestFit="1" customWidth="1"/>
    <col min="125" max="125" width="19.88671875" bestFit="1" customWidth="1"/>
    <col min="126" max="126" width="19.77734375" bestFit="1" customWidth="1"/>
    <col min="127" max="127" width="14.77734375" bestFit="1" customWidth="1"/>
    <col min="128" max="128" width="24.88671875" bestFit="1" customWidth="1"/>
    <col min="129" max="129" width="19.88671875" bestFit="1" customWidth="1"/>
    <col min="130" max="130" width="19.77734375" bestFit="1" customWidth="1"/>
    <col min="131" max="131" width="14.77734375" bestFit="1" customWidth="1"/>
    <col min="132" max="132" width="19.77734375" bestFit="1" customWidth="1"/>
    <col min="133" max="133" width="14.77734375" bestFit="1" customWidth="1"/>
    <col min="134" max="134" width="24.88671875" bestFit="1" customWidth="1"/>
    <col min="135" max="135" width="19.88671875" bestFit="1" customWidth="1"/>
    <col min="136" max="136" width="19.77734375" bestFit="1" customWidth="1"/>
    <col min="137" max="137" width="14.77734375" bestFit="1" customWidth="1"/>
    <col min="138" max="138" width="24.88671875" bestFit="1" customWidth="1"/>
    <col min="139" max="139" width="19.88671875" bestFit="1" customWidth="1"/>
    <col min="140" max="140" width="19.77734375" bestFit="1" customWidth="1"/>
    <col min="141" max="141" width="14.77734375" bestFit="1" customWidth="1"/>
    <col min="142" max="142" width="24.88671875" bestFit="1" customWidth="1"/>
    <col min="143" max="143" width="19.88671875" bestFit="1" customWidth="1"/>
    <col min="144" max="144" width="19.77734375" bestFit="1" customWidth="1"/>
    <col min="145" max="145" width="14.77734375" bestFit="1" customWidth="1"/>
    <col min="146" max="146" width="24.88671875" bestFit="1" customWidth="1"/>
    <col min="147" max="147" width="19.88671875" bestFit="1" customWidth="1"/>
    <col min="148" max="148" width="19.77734375" bestFit="1" customWidth="1"/>
    <col min="149" max="149" width="14.77734375" bestFit="1" customWidth="1"/>
    <col min="150" max="150" width="24.88671875" bestFit="1" customWidth="1"/>
    <col min="151" max="151" width="19.88671875" bestFit="1" customWidth="1"/>
    <col min="152" max="152" width="19.77734375" bestFit="1" customWidth="1"/>
    <col min="153" max="153" width="14.77734375" bestFit="1" customWidth="1"/>
    <col min="154" max="154" width="24.88671875" bestFit="1" customWidth="1"/>
    <col min="155" max="155" width="19.88671875" bestFit="1" customWidth="1"/>
    <col min="156" max="156" width="19.77734375" bestFit="1" customWidth="1"/>
    <col min="157" max="157" width="14.77734375" bestFit="1" customWidth="1"/>
    <col min="158" max="158" width="24.88671875" bestFit="1" customWidth="1"/>
    <col min="159" max="159" width="19.88671875" bestFit="1" customWidth="1"/>
    <col min="160" max="160" width="19.77734375" bestFit="1" customWidth="1"/>
    <col min="161" max="161" width="14.77734375" bestFit="1" customWidth="1"/>
    <col min="162" max="162" width="24.88671875" bestFit="1" customWidth="1"/>
    <col min="163" max="163" width="19.88671875" bestFit="1" customWidth="1"/>
    <col min="164" max="164" width="19.77734375" bestFit="1" customWidth="1"/>
    <col min="165" max="165" width="14.77734375" bestFit="1" customWidth="1"/>
    <col min="166" max="166" width="24.88671875" bestFit="1" customWidth="1"/>
    <col min="167" max="167" width="19.88671875" bestFit="1" customWidth="1"/>
    <col min="168" max="168" width="19.77734375" bestFit="1" customWidth="1"/>
    <col min="169" max="169" width="14.77734375" bestFit="1" customWidth="1"/>
    <col min="170" max="170" width="24.88671875" bestFit="1" customWidth="1"/>
    <col min="171" max="171" width="19.88671875" bestFit="1" customWidth="1"/>
    <col min="172" max="172" width="19.77734375" bestFit="1" customWidth="1"/>
    <col min="173" max="173" width="14.77734375" bestFit="1" customWidth="1"/>
    <col min="174" max="174" width="24.88671875" bestFit="1" customWidth="1"/>
    <col min="175" max="175" width="19.88671875" bestFit="1" customWidth="1"/>
    <col min="176" max="176" width="19.77734375" bestFit="1" customWidth="1"/>
    <col min="177" max="177" width="14.77734375" bestFit="1" customWidth="1"/>
    <col min="178" max="178" width="24.88671875" bestFit="1" customWidth="1"/>
    <col min="179" max="179" width="19.88671875" bestFit="1" customWidth="1"/>
    <col min="180" max="180" width="19.77734375" bestFit="1" customWidth="1"/>
    <col min="181" max="181" width="14.77734375" bestFit="1" customWidth="1"/>
    <col min="182" max="182" width="24.88671875" bestFit="1" customWidth="1"/>
    <col min="183" max="183" width="19.88671875" bestFit="1" customWidth="1"/>
    <col min="184" max="184" width="19.77734375" bestFit="1" customWidth="1"/>
    <col min="185" max="185" width="14.77734375" bestFit="1" customWidth="1"/>
    <col min="186" max="186" width="24.88671875" bestFit="1" customWidth="1"/>
    <col min="187" max="187" width="19.88671875" bestFit="1" customWidth="1"/>
    <col min="188" max="188" width="19.77734375" bestFit="1" customWidth="1"/>
    <col min="189" max="189" width="14.77734375" bestFit="1" customWidth="1"/>
    <col min="190" max="190" width="24.88671875" bestFit="1" customWidth="1"/>
    <col min="191" max="191" width="19.88671875" bestFit="1" customWidth="1"/>
    <col min="192" max="192" width="19.77734375" bestFit="1" customWidth="1"/>
    <col min="193" max="193" width="14.77734375" bestFit="1" customWidth="1"/>
    <col min="194" max="194" width="24.88671875" bestFit="1" customWidth="1"/>
    <col min="195" max="195" width="19.88671875" bestFit="1" customWidth="1"/>
    <col min="196" max="196" width="19.77734375" bestFit="1" customWidth="1"/>
    <col min="197" max="197" width="14.77734375" bestFit="1" customWidth="1"/>
    <col min="198" max="198" width="24.88671875" bestFit="1" customWidth="1"/>
    <col min="199" max="199" width="19.88671875" bestFit="1" customWidth="1"/>
    <col min="200" max="200" width="19.77734375" bestFit="1" customWidth="1"/>
    <col min="201" max="201" width="14.77734375" bestFit="1" customWidth="1"/>
    <col min="202" max="202" width="24.88671875" bestFit="1" customWidth="1"/>
    <col min="203" max="203" width="19.88671875" bestFit="1" customWidth="1"/>
    <col min="204" max="204" width="19.77734375" bestFit="1" customWidth="1"/>
    <col min="205" max="205" width="14.77734375" bestFit="1" customWidth="1"/>
    <col min="206" max="206" width="24.88671875" bestFit="1" customWidth="1"/>
    <col min="207" max="207" width="19.88671875" bestFit="1" customWidth="1"/>
    <col min="208" max="208" width="19.77734375" bestFit="1" customWidth="1"/>
    <col min="209" max="209" width="14.77734375" bestFit="1" customWidth="1"/>
    <col min="210" max="210" width="24.88671875" bestFit="1" customWidth="1"/>
    <col min="211" max="211" width="19.88671875" bestFit="1" customWidth="1"/>
    <col min="212" max="212" width="19.77734375" bestFit="1" customWidth="1"/>
    <col min="213" max="213" width="14.77734375" bestFit="1" customWidth="1"/>
    <col min="214" max="214" width="24.88671875" bestFit="1" customWidth="1"/>
    <col min="215" max="215" width="19.88671875" bestFit="1" customWidth="1"/>
    <col min="216" max="216" width="19.77734375" bestFit="1" customWidth="1"/>
    <col min="217" max="217" width="14.77734375" bestFit="1" customWidth="1"/>
    <col min="218" max="218" width="24.88671875" bestFit="1" customWidth="1"/>
    <col min="219" max="219" width="19.88671875" bestFit="1" customWidth="1"/>
    <col min="220" max="220" width="19.77734375" bestFit="1" customWidth="1"/>
    <col min="221" max="221" width="14.77734375" bestFit="1" customWidth="1"/>
    <col min="222" max="222" width="24.88671875" bestFit="1" customWidth="1"/>
    <col min="223" max="223" width="19.88671875" bestFit="1" customWidth="1"/>
    <col min="224" max="224" width="19.77734375" bestFit="1" customWidth="1"/>
    <col min="225" max="225" width="14.77734375" bestFit="1" customWidth="1"/>
    <col min="226" max="226" width="25.88671875" bestFit="1" customWidth="1"/>
    <col min="227" max="227" width="20.88671875" bestFit="1" customWidth="1"/>
    <col min="228" max="228" width="19.77734375" bestFit="1" customWidth="1"/>
    <col min="229" max="229" width="14.77734375" bestFit="1" customWidth="1"/>
    <col min="230" max="230" width="25.88671875" bestFit="1" customWidth="1"/>
    <col min="231" max="231" width="20.88671875" bestFit="1" customWidth="1"/>
    <col min="232" max="232" width="24.5546875" bestFit="1" customWidth="1"/>
    <col min="233" max="233" width="19.5546875" bestFit="1" customWidth="1"/>
  </cols>
  <sheetData>
    <row r="1" spans="1:13" ht="45" thickBot="1" x14ac:dyDescent="0.75">
      <c r="G1" s="55"/>
      <c r="H1" s="57">
        <f>B39</f>
        <v>2022</v>
      </c>
      <c r="I1" s="53"/>
      <c r="J1" s="56" t="str">
        <f>B2</f>
        <v>España</v>
      </c>
      <c r="K1" s="58"/>
      <c r="L1" s="53"/>
      <c r="M1" s="54"/>
    </row>
    <row r="2" spans="1:13" ht="19.2" thickTop="1" thickBot="1" x14ac:dyDescent="0.4">
      <c r="A2" s="8" t="s">
        <v>19</v>
      </c>
      <c r="B2" t="s">
        <v>14</v>
      </c>
      <c r="F2" s="12"/>
      <c r="G2" s="52" t="s">
        <v>31</v>
      </c>
      <c r="H2" s="43" t="s">
        <v>32</v>
      </c>
      <c r="I2" s="44" t="s">
        <v>33</v>
      </c>
      <c r="J2" s="45" t="s">
        <v>34</v>
      </c>
      <c r="K2" s="46" t="s">
        <v>35</v>
      </c>
      <c r="L2" s="14"/>
    </row>
    <row r="3" spans="1:13" ht="21.6" thickTop="1" x14ac:dyDescent="0.4">
      <c r="C3">
        <f>C2</f>
        <v>0</v>
      </c>
      <c r="H3" s="47" t="str">
        <f>_xlfn.XLOOKUP(MAX(B6:B17),(B6:B17),(A6:A17))</f>
        <v>Mayo</v>
      </c>
      <c r="I3" s="48" t="str">
        <f>_xlfn.XLOOKUP(MIN(B6:B17),(B6:B17),(A6:A17))</f>
        <v>Diciembre</v>
      </c>
      <c r="J3" s="49" t="str">
        <f>_xlfn.XLOOKUP(MAX(B23:B34),(B23:B34),(A23:A34))</f>
        <v>Julio</v>
      </c>
      <c r="K3" s="48" t="str">
        <f>_xlfn.XLOOKUP(MIN(B23:B34),(B23:B34),(A23:A34))</f>
        <v>Agosto</v>
      </c>
    </row>
    <row r="4" spans="1:13" ht="26.4" thickBot="1" x14ac:dyDescent="0.55000000000000004">
      <c r="A4" s="8" t="s">
        <v>25</v>
      </c>
      <c r="B4" s="8" t="s">
        <v>24</v>
      </c>
      <c r="H4" s="60">
        <f>MAX(B6:F17)</f>
        <v>59984</v>
      </c>
      <c r="I4" s="61">
        <f>MIN(C6:C17)</f>
        <v>43492</v>
      </c>
      <c r="J4" s="50">
        <f>MAX(B23:B31)</f>
        <v>1695</v>
      </c>
      <c r="K4" s="51">
        <f>MIN(B23:B34)</f>
        <v>1498</v>
      </c>
    </row>
    <row r="5" spans="1:13" ht="15" thickTop="1" x14ac:dyDescent="0.3">
      <c r="A5" s="8" t="s">
        <v>22</v>
      </c>
      <c r="B5">
        <v>2022</v>
      </c>
      <c r="C5" t="s">
        <v>23</v>
      </c>
    </row>
    <row r="6" spans="1:13" x14ac:dyDescent="0.3">
      <c r="A6" s="9" t="s">
        <v>2</v>
      </c>
      <c r="B6" s="59">
        <v>52902</v>
      </c>
      <c r="C6" s="59">
        <v>52902</v>
      </c>
    </row>
    <row r="7" spans="1:13" x14ac:dyDescent="0.3">
      <c r="A7" s="9" t="s">
        <v>3</v>
      </c>
      <c r="B7" s="59">
        <v>53739</v>
      </c>
      <c r="C7" s="59">
        <v>53739</v>
      </c>
    </row>
    <row r="8" spans="1:13" x14ac:dyDescent="0.3">
      <c r="A8" s="9" t="s">
        <v>4</v>
      </c>
      <c r="B8" s="59">
        <v>59158</v>
      </c>
      <c r="C8" s="59">
        <v>59158</v>
      </c>
    </row>
    <row r="9" spans="1:13" x14ac:dyDescent="0.3">
      <c r="A9" s="9" t="s">
        <v>5</v>
      </c>
      <c r="B9" s="59">
        <v>47139</v>
      </c>
      <c r="C9" s="59">
        <v>47139</v>
      </c>
      <c r="L9" s="16"/>
      <c r="M9" s="16"/>
    </row>
    <row r="10" spans="1:13" x14ac:dyDescent="0.3">
      <c r="A10" s="9" t="s">
        <v>6</v>
      </c>
      <c r="B10" s="59">
        <v>59984</v>
      </c>
      <c r="C10" s="59">
        <v>59984</v>
      </c>
      <c r="L10" s="16"/>
      <c r="M10" s="16"/>
    </row>
    <row r="11" spans="1:13" x14ac:dyDescent="0.3">
      <c r="A11" s="9" t="s">
        <v>7</v>
      </c>
      <c r="B11" s="59">
        <v>57686</v>
      </c>
      <c r="C11" s="59">
        <v>57686</v>
      </c>
      <c r="L11" s="16"/>
      <c r="M11" s="16"/>
    </row>
    <row r="12" spans="1:13" x14ac:dyDescent="0.3">
      <c r="A12" s="9" t="s">
        <v>8</v>
      </c>
      <c r="B12" s="59">
        <v>53987</v>
      </c>
      <c r="C12" s="59">
        <v>53987</v>
      </c>
      <c r="L12" s="16"/>
      <c r="M12" s="16"/>
    </row>
    <row r="13" spans="1:13" x14ac:dyDescent="0.3">
      <c r="A13" s="9" t="s">
        <v>9</v>
      </c>
      <c r="B13" s="59">
        <v>57548</v>
      </c>
      <c r="C13" s="59">
        <v>57548</v>
      </c>
      <c r="L13" s="16"/>
      <c r="M13" s="16"/>
    </row>
    <row r="14" spans="1:13" x14ac:dyDescent="0.3">
      <c r="A14" s="9" t="s">
        <v>10</v>
      </c>
      <c r="B14" s="59">
        <v>57757</v>
      </c>
      <c r="C14" s="59">
        <v>57757</v>
      </c>
      <c r="L14" s="16"/>
      <c r="M14" s="16"/>
    </row>
    <row r="15" spans="1:13" x14ac:dyDescent="0.3">
      <c r="A15" s="9" t="s">
        <v>11</v>
      </c>
      <c r="B15" s="59">
        <v>51628</v>
      </c>
      <c r="C15" s="59">
        <v>51628</v>
      </c>
      <c r="L15" s="16"/>
      <c r="M15" s="16"/>
    </row>
    <row r="16" spans="1:13" x14ac:dyDescent="0.3">
      <c r="A16" s="9" t="s">
        <v>12</v>
      </c>
      <c r="B16" s="59">
        <v>55245</v>
      </c>
      <c r="C16" s="59">
        <v>55245</v>
      </c>
    </row>
    <row r="17" spans="1:3" x14ac:dyDescent="0.3">
      <c r="A17" s="9" t="s">
        <v>13</v>
      </c>
      <c r="B17" s="59">
        <v>43492</v>
      </c>
      <c r="C17" s="59">
        <v>43492</v>
      </c>
    </row>
    <row r="18" spans="1:3" x14ac:dyDescent="0.3">
      <c r="A18" s="9" t="s">
        <v>23</v>
      </c>
      <c r="B18" s="59">
        <v>650265</v>
      </c>
      <c r="C18" s="59">
        <v>650265</v>
      </c>
    </row>
    <row r="21" spans="1:3" x14ac:dyDescent="0.3">
      <c r="A21" s="8" t="s">
        <v>26</v>
      </c>
      <c r="B21" s="8" t="s">
        <v>24</v>
      </c>
    </row>
    <row r="22" spans="1:3" x14ac:dyDescent="0.3">
      <c r="A22" s="8" t="s">
        <v>22</v>
      </c>
      <c r="B22">
        <v>2022</v>
      </c>
      <c r="C22" t="s">
        <v>23</v>
      </c>
    </row>
    <row r="23" spans="1:3" x14ac:dyDescent="0.3">
      <c r="A23" s="9" t="s">
        <v>2</v>
      </c>
      <c r="B23" s="13">
        <v>1651</v>
      </c>
      <c r="C23" s="13">
        <v>1651</v>
      </c>
    </row>
    <row r="24" spans="1:3" x14ac:dyDescent="0.3">
      <c r="A24" s="9" t="s">
        <v>3</v>
      </c>
      <c r="B24" s="13">
        <v>1578</v>
      </c>
      <c r="C24" s="13">
        <v>1578</v>
      </c>
    </row>
    <row r="25" spans="1:3" x14ac:dyDescent="0.3">
      <c r="A25" s="9" t="s">
        <v>4</v>
      </c>
      <c r="B25" s="13">
        <v>1622</v>
      </c>
      <c r="C25" s="13">
        <v>1622</v>
      </c>
    </row>
    <row r="26" spans="1:3" x14ac:dyDescent="0.3">
      <c r="A26" s="9" t="s">
        <v>5</v>
      </c>
      <c r="B26" s="13">
        <v>1607</v>
      </c>
      <c r="C26" s="13">
        <v>1607</v>
      </c>
    </row>
    <row r="27" spans="1:3" x14ac:dyDescent="0.3">
      <c r="A27" s="9" t="s">
        <v>6</v>
      </c>
      <c r="B27" s="13">
        <v>1604</v>
      </c>
      <c r="C27" s="13">
        <v>1604</v>
      </c>
    </row>
    <row r="28" spans="1:3" x14ac:dyDescent="0.3">
      <c r="A28" s="9" t="s">
        <v>7</v>
      </c>
      <c r="B28" s="13">
        <v>1644</v>
      </c>
      <c r="C28" s="13">
        <v>1644</v>
      </c>
    </row>
    <row r="29" spans="1:3" x14ac:dyDescent="0.3">
      <c r="A29" s="9" t="s">
        <v>8</v>
      </c>
      <c r="B29" s="13">
        <v>1695</v>
      </c>
      <c r="C29" s="13">
        <v>1695</v>
      </c>
    </row>
    <row r="30" spans="1:3" x14ac:dyDescent="0.3">
      <c r="A30" s="9" t="s">
        <v>9</v>
      </c>
      <c r="B30" s="13">
        <v>1498</v>
      </c>
      <c r="C30" s="13">
        <v>1498</v>
      </c>
    </row>
    <row r="31" spans="1:3" x14ac:dyDescent="0.3">
      <c r="A31" s="9" t="s">
        <v>10</v>
      </c>
      <c r="B31" s="13">
        <v>1660</v>
      </c>
      <c r="C31" s="13">
        <v>1660</v>
      </c>
    </row>
    <row r="32" spans="1:3" x14ac:dyDescent="0.3">
      <c r="A32" s="9" t="s">
        <v>11</v>
      </c>
      <c r="B32" s="13">
        <v>1605</v>
      </c>
      <c r="C32" s="13">
        <v>1605</v>
      </c>
    </row>
    <row r="33" spans="1:7" x14ac:dyDescent="0.3">
      <c r="A33" s="9" t="s">
        <v>12</v>
      </c>
      <c r="B33" s="13">
        <v>1570</v>
      </c>
      <c r="C33" s="13">
        <v>1570</v>
      </c>
    </row>
    <row r="34" spans="1:7" x14ac:dyDescent="0.3">
      <c r="A34" s="9" t="s">
        <v>13</v>
      </c>
      <c r="B34" s="13">
        <v>1594</v>
      </c>
      <c r="C34" s="13">
        <v>1594</v>
      </c>
    </row>
    <row r="35" spans="1:7" x14ac:dyDescent="0.3">
      <c r="A35" s="9" t="s">
        <v>23</v>
      </c>
      <c r="B35" s="13">
        <v>19328</v>
      </c>
      <c r="C35" s="13">
        <v>19328</v>
      </c>
    </row>
    <row r="36" spans="1:7" x14ac:dyDescent="0.3">
      <c r="C36" s="5"/>
      <c r="D36" s="5"/>
      <c r="E36" s="5"/>
      <c r="F36" s="5"/>
      <c r="G36" s="5"/>
    </row>
    <row r="37" spans="1:7" x14ac:dyDescent="0.3">
      <c r="D37" s="5"/>
      <c r="E37" s="5"/>
      <c r="F37" s="5"/>
      <c r="G37" s="5"/>
    </row>
    <row r="38" spans="1:7" x14ac:dyDescent="0.3">
      <c r="A38" s="8" t="s">
        <v>27</v>
      </c>
      <c r="B38" s="8" t="s">
        <v>24</v>
      </c>
    </row>
    <row r="39" spans="1:7" x14ac:dyDescent="0.3">
      <c r="A39" s="8" t="s">
        <v>22</v>
      </c>
      <c r="B39">
        <v>2022</v>
      </c>
      <c r="C39" t="s">
        <v>23</v>
      </c>
    </row>
    <row r="40" spans="1:7" x14ac:dyDescent="0.3">
      <c r="A40" s="9" t="s">
        <v>2</v>
      </c>
      <c r="B40" s="11">
        <v>2.1</v>
      </c>
      <c r="C40" s="11">
        <v>2.1</v>
      </c>
    </row>
    <row r="41" spans="1:7" x14ac:dyDescent="0.3">
      <c r="A41" s="9" t="s">
        <v>3</v>
      </c>
      <c r="B41" s="11">
        <v>3.6</v>
      </c>
      <c r="C41" s="11">
        <v>3.6</v>
      </c>
    </row>
    <row r="42" spans="1:7" x14ac:dyDescent="0.3">
      <c r="A42" s="9" t="s">
        <v>4</v>
      </c>
      <c r="B42" s="11">
        <v>2.4</v>
      </c>
      <c r="C42" s="11">
        <v>2.4</v>
      </c>
    </row>
    <row r="43" spans="1:7" x14ac:dyDescent="0.3">
      <c r="A43" s="9" t="s">
        <v>5</v>
      </c>
      <c r="B43" s="11">
        <v>1.8</v>
      </c>
      <c r="C43" s="11">
        <v>1.8</v>
      </c>
    </row>
    <row r="44" spans="1:7" x14ac:dyDescent="0.3">
      <c r="A44" s="9" t="s">
        <v>6</v>
      </c>
      <c r="B44" s="11">
        <v>3</v>
      </c>
      <c r="C44" s="11">
        <v>3</v>
      </c>
    </row>
    <row r="45" spans="1:7" x14ac:dyDescent="0.3">
      <c r="A45" s="9" t="s">
        <v>7</v>
      </c>
      <c r="B45" s="11">
        <v>2.1</v>
      </c>
      <c r="C45" s="11">
        <v>2.1</v>
      </c>
    </row>
    <row r="46" spans="1:7" x14ac:dyDescent="0.3">
      <c r="A46" s="9" t="s">
        <v>8</v>
      </c>
      <c r="B46" s="11">
        <v>2.1</v>
      </c>
      <c r="C46" s="11">
        <v>2.1</v>
      </c>
    </row>
    <row r="47" spans="1:7" x14ac:dyDescent="0.3">
      <c r="A47" s="9" t="s">
        <v>9</v>
      </c>
      <c r="B47" s="11">
        <v>0</v>
      </c>
      <c r="C47" s="11">
        <v>0</v>
      </c>
    </row>
    <row r="48" spans="1:7" x14ac:dyDescent="0.3">
      <c r="A48" s="9" t="s">
        <v>10</v>
      </c>
      <c r="B48" s="11">
        <v>3.1</v>
      </c>
      <c r="C48" s="11">
        <v>3.1</v>
      </c>
    </row>
    <row r="49" spans="1:3" x14ac:dyDescent="0.3">
      <c r="A49" s="9" t="s">
        <v>11</v>
      </c>
      <c r="B49" s="11">
        <v>2.9</v>
      </c>
      <c r="C49" s="11">
        <v>2.9</v>
      </c>
    </row>
    <row r="50" spans="1:3" x14ac:dyDescent="0.3">
      <c r="A50" s="9" t="s">
        <v>12</v>
      </c>
      <c r="B50" s="11">
        <v>2.5</v>
      </c>
      <c r="C50" s="11">
        <v>2.5</v>
      </c>
    </row>
    <row r="51" spans="1:3" x14ac:dyDescent="0.3">
      <c r="A51" s="9" t="s">
        <v>13</v>
      </c>
      <c r="B51" s="11">
        <v>4.0999999999999996</v>
      </c>
      <c r="C51" s="11">
        <v>4.0999999999999996</v>
      </c>
    </row>
    <row r="52" spans="1:3" x14ac:dyDescent="0.3">
      <c r="A52" s="9" t="s">
        <v>23</v>
      </c>
      <c r="B52" s="11">
        <v>29.700000000000003</v>
      </c>
      <c r="C52" s="11">
        <v>29.700000000000003</v>
      </c>
    </row>
    <row r="55" spans="1:3" x14ac:dyDescent="0.3">
      <c r="A55" s="8" t="s">
        <v>30</v>
      </c>
      <c r="B55" s="8" t="s">
        <v>24</v>
      </c>
    </row>
    <row r="56" spans="1:3" x14ac:dyDescent="0.3">
      <c r="A56" s="8" t="s">
        <v>22</v>
      </c>
      <c r="B56">
        <v>2022</v>
      </c>
      <c r="C56" t="s">
        <v>23</v>
      </c>
    </row>
    <row r="57" spans="1:3" x14ac:dyDescent="0.3">
      <c r="A57" s="9" t="s">
        <v>2</v>
      </c>
      <c r="B57" s="10">
        <v>8.5399999999999991</v>
      </c>
      <c r="C57" s="10">
        <v>8.5399999999999991</v>
      </c>
    </row>
    <row r="58" spans="1:3" x14ac:dyDescent="0.3">
      <c r="A58" s="9" t="s">
        <v>3</v>
      </c>
      <c r="B58" s="10">
        <v>8.5399999999999991</v>
      </c>
      <c r="C58" s="10">
        <v>8.5399999999999991</v>
      </c>
    </row>
    <row r="59" spans="1:3" x14ac:dyDescent="0.3">
      <c r="A59" s="9" t="s">
        <v>4</v>
      </c>
      <c r="B59" s="10">
        <v>8.5399999999999991</v>
      </c>
      <c r="C59" s="10">
        <v>8.5399999999999991</v>
      </c>
    </row>
    <row r="60" spans="1:3" x14ac:dyDescent="0.3">
      <c r="A60" s="9" t="s">
        <v>5</v>
      </c>
      <c r="B60" s="10">
        <v>8.02</v>
      </c>
      <c r="C60" s="10">
        <v>8.02</v>
      </c>
    </row>
    <row r="61" spans="1:3" x14ac:dyDescent="0.3">
      <c r="A61" s="9" t="s">
        <v>6</v>
      </c>
      <c r="B61" s="10">
        <v>8.02</v>
      </c>
      <c r="C61" s="10">
        <v>8.02</v>
      </c>
    </row>
    <row r="62" spans="1:3" x14ac:dyDescent="0.3">
      <c r="A62" s="9" t="s">
        <v>7</v>
      </c>
      <c r="B62" s="10">
        <v>8.02</v>
      </c>
      <c r="C62" s="10">
        <v>8.02</v>
      </c>
    </row>
    <row r="63" spans="1:3" x14ac:dyDescent="0.3">
      <c r="A63" s="9" t="s">
        <v>8</v>
      </c>
      <c r="B63" s="10">
        <v>7.64</v>
      </c>
      <c r="C63" s="10">
        <v>7.64</v>
      </c>
    </row>
    <row r="64" spans="1:3" x14ac:dyDescent="0.3">
      <c r="A64" s="9" t="s">
        <v>9</v>
      </c>
      <c r="B64" s="10">
        <v>7.64</v>
      </c>
      <c r="C64" s="10">
        <v>7.64</v>
      </c>
    </row>
    <row r="65" spans="1:5" x14ac:dyDescent="0.3">
      <c r="A65" s="9" t="s">
        <v>10</v>
      </c>
      <c r="B65" s="10">
        <v>7.64</v>
      </c>
      <c r="C65" s="10">
        <v>7.64</v>
      </c>
    </row>
    <row r="66" spans="1:5" x14ac:dyDescent="0.3">
      <c r="A66" s="9" t="s">
        <v>11</v>
      </c>
      <c r="B66" s="10">
        <v>5.45</v>
      </c>
      <c r="C66" s="10">
        <v>5.45</v>
      </c>
    </row>
    <row r="67" spans="1:5" x14ac:dyDescent="0.3">
      <c r="A67" s="9" t="s">
        <v>12</v>
      </c>
      <c r="B67" s="10">
        <v>5.45</v>
      </c>
      <c r="C67" s="10">
        <v>5.45</v>
      </c>
    </row>
    <row r="68" spans="1:5" x14ac:dyDescent="0.3">
      <c r="A68" s="9" t="s">
        <v>13</v>
      </c>
      <c r="B68" s="10">
        <v>5.45</v>
      </c>
      <c r="C68" s="10">
        <v>5.45</v>
      </c>
    </row>
    <row r="69" spans="1:5" x14ac:dyDescent="0.3">
      <c r="A69" s="9" t="s">
        <v>23</v>
      </c>
      <c r="B69" s="10">
        <v>88.95</v>
      </c>
      <c r="C69" s="10">
        <v>88.95</v>
      </c>
    </row>
    <row r="73" spans="1:5" x14ac:dyDescent="0.3">
      <c r="B73" s="8" t="s">
        <v>24</v>
      </c>
    </row>
    <row r="74" spans="1:5" x14ac:dyDescent="0.3">
      <c r="B74">
        <v>2022</v>
      </c>
      <c r="D74" t="s">
        <v>36</v>
      </c>
      <c r="E74" t="s">
        <v>38</v>
      </c>
    </row>
    <row r="75" spans="1:5" x14ac:dyDescent="0.3">
      <c r="A75" s="8" t="s">
        <v>22</v>
      </c>
      <c r="B75" t="s">
        <v>37</v>
      </c>
      <c r="C75" t="s">
        <v>39</v>
      </c>
    </row>
    <row r="76" spans="1:5" x14ac:dyDescent="0.3">
      <c r="A76" s="9" t="s">
        <v>2</v>
      </c>
      <c r="B76" s="5">
        <v>10.08</v>
      </c>
      <c r="C76" s="5">
        <v>8.2100000000000009</v>
      </c>
      <c r="D76" s="5">
        <v>10.08</v>
      </c>
      <c r="E76" s="5">
        <v>8.2100000000000009</v>
      </c>
    </row>
    <row r="77" spans="1:5" x14ac:dyDescent="0.3">
      <c r="A77" s="9" t="s">
        <v>3</v>
      </c>
      <c r="B77" s="5">
        <v>10.08</v>
      </c>
      <c r="C77" s="5">
        <v>8.2100000000000009</v>
      </c>
      <c r="D77" s="5">
        <v>10.08</v>
      </c>
      <c r="E77" s="5">
        <v>8.2100000000000009</v>
      </c>
    </row>
    <row r="78" spans="1:5" x14ac:dyDescent="0.3">
      <c r="A78" s="9" t="s">
        <v>4</v>
      </c>
      <c r="B78" s="5">
        <v>10.08</v>
      </c>
      <c r="C78" s="5">
        <v>8.2100000000000009</v>
      </c>
      <c r="D78" s="5">
        <v>10.08</v>
      </c>
      <c r="E78" s="5">
        <v>8.2100000000000009</v>
      </c>
    </row>
    <row r="79" spans="1:5" x14ac:dyDescent="0.3">
      <c r="A79" s="9" t="s">
        <v>5</v>
      </c>
      <c r="B79" s="5">
        <v>8.8000000000000007</v>
      </c>
      <c r="C79" s="5">
        <v>7.86</v>
      </c>
      <c r="D79" s="5">
        <v>8.8000000000000007</v>
      </c>
      <c r="E79" s="5">
        <v>7.86</v>
      </c>
    </row>
    <row r="80" spans="1:5" x14ac:dyDescent="0.3">
      <c r="A80" s="9" t="s">
        <v>6</v>
      </c>
      <c r="B80" s="5">
        <v>8.8000000000000007</v>
      </c>
      <c r="C80" s="5">
        <v>7.86</v>
      </c>
      <c r="D80" s="5">
        <v>8.8000000000000007</v>
      </c>
      <c r="E80" s="5">
        <v>7.86</v>
      </c>
    </row>
    <row r="81" spans="1:5" x14ac:dyDescent="0.3">
      <c r="A81" s="9" t="s">
        <v>7</v>
      </c>
      <c r="B81" s="5">
        <v>8.8000000000000007</v>
      </c>
      <c r="C81" s="5">
        <v>7.86</v>
      </c>
      <c r="D81" s="5">
        <v>8.8000000000000007</v>
      </c>
      <c r="E81" s="5">
        <v>7.86</v>
      </c>
    </row>
    <row r="82" spans="1:5" x14ac:dyDescent="0.3">
      <c r="A82" s="9" t="s">
        <v>8</v>
      </c>
      <c r="B82" s="5">
        <v>6.8</v>
      </c>
      <c r="C82" s="5">
        <v>7.83</v>
      </c>
      <c r="D82" s="5">
        <v>6.8</v>
      </c>
      <c r="E82" s="5">
        <v>7.83</v>
      </c>
    </row>
    <row r="83" spans="1:5" x14ac:dyDescent="0.3">
      <c r="A83" s="9" t="s">
        <v>9</v>
      </c>
      <c r="B83" s="5">
        <v>6.8</v>
      </c>
      <c r="C83" s="5">
        <v>7.83</v>
      </c>
      <c r="D83" s="5">
        <v>6.8</v>
      </c>
      <c r="E83" s="5">
        <v>7.83</v>
      </c>
    </row>
    <row r="84" spans="1:5" x14ac:dyDescent="0.3">
      <c r="A84" s="9" t="s">
        <v>10</v>
      </c>
      <c r="B84" s="5">
        <v>6.8</v>
      </c>
      <c r="C84" s="5">
        <v>7.83</v>
      </c>
      <c r="D84" s="5">
        <v>6.8</v>
      </c>
      <c r="E84" s="5">
        <v>7.83</v>
      </c>
    </row>
    <row r="85" spans="1:5" x14ac:dyDescent="0.3">
      <c r="A85" s="9" t="s">
        <v>11</v>
      </c>
      <c r="B85" s="5">
        <v>6.16</v>
      </c>
      <c r="C85" s="5">
        <v>5.3</v>
      </c>
      <c r="D85" s="5">
        <v>6.16</v>
      </c>
      <c r="E85" s="5">
        <v>5.3</v>
      </c>
    </row>
    <row r="86" spans="1:5" x14ac:dyDescent="0.3">
      <c r="A86" s="9" t="s">
        <v>12</v>
      </c>
      <c r="B86" s="5">
        <v>6.16</v>
      </c>
      <c r="C86" s="5">
        <v>5.3</v>
      </c>
      <c r="D86" s="5">
        <v>6.16</v>
      </c>
      <c r="E86" s="5">
        <v>5.3</v>
      </c>
    </row>
    <row r="87" spans="1:5" x14ac:dyDescent="0.3">
      <c r="A87" s="9" t="s">
        <v>13</v>
      </c>
      <c r="B87" s="5">
        <v>6.16</v>
      </c>
      <c r="C87" s="5">
        <v>5.3</v>
      </c>
      <c r="D87" s="5">
        <v>6.16</v>
      </c>
      <c r="E87" s="5">
        <v>5.3</v>
      </c>
    </row>
    <row r="88" spans="1:5" x14ac:dyDescent="0.3">
      <c r="A88" s="9" t="s">
        <v>23</v>
      </c>
      <c r="B88" s="5">
        <v>95.519999999999982</v>
      </c>
      <c r="C88" s="5">
        <v>87.6</v>
      </c>
      <c r="D88" s="5">
        <v>95.519999999999982</v>
      </c>
      <c r="E88" s="5">
        <v>87.6</v>
      </c>
    </row>
  </sheetData>
  <sheetProtection sheet="1" objects="1" scenarios="1" pivotTables="0"/>
  <protectedRanges>
    <protectedRange algorithmName="SHA-512" hashValue="d2ngiyfg3jOsP0GzPl1y2vxVtpUUFEdDIWhZvD1/7bEOjecQ6QR9IiTmo7/KdeprPQiroP5v0F8rc286+h7dDQ==" saltValue="Z37kDMthhdrCXqjGvlCmag==" spinCount="100000" sqref="M19" name="Rango1"/>
  </protectedRanges>
  <pageMargins left="0.7" right="0.7" top="0.75" bottom="0.75" header="0.3" footer="0.3"/>
  <pageSetup paperSize="12" scale="75" fitToWidth="0" fitToHeight="0" orientation="portrait" r:id="rId6"/>
  <drawing r:id="rId7"/>
  <legacyDrawing r:id="rId8"/>
  <controls>
    <mc:AlternateContent xmlns:mc="http://schemas.openxmlformats.org/markup-compatibility/2006">
      <mc:Choice Requires="x14">
        <control shapeId="2051" r:id="rId9" name="ToggleButton1">
          <controlPr defaultSize="0" autoLine="0" altText="jbsakbas" r:id="rId10">
            <anchor moveWithCells="1">
              <from>
                <xdr:col>11</xdr:col>
                <xdr:colOff>1470660</xdr:colOff>
                <xdr:row>4</xdr:row>
                <xdr:rowOff>22860</xdr:rowOff>
              </from>
              <to>
                <xdr:col>12</xdr:col>
                <xdr:colOff>1272540</xdr:colOff>
                <xdr:row>7</xdr:row>
                <xdr:rowOff>68580</xdr:rowOff>
              </to>
            </anchor>
          </controlPr>
        </control>
      </mc:Choice>
      <mc:Fallback>
        <control shapeId="2051" r:id="rId9" name="ToggleButton1"/>
      </mc:Fallback>
    </mc:AlternateContent>
  </controls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18916-7ED2-4EC2-9592-33C60479EB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Datos</vt:lpstr>
      <vt:lpstr>Dashboard</vt:lpstr>
      <vt:lpstr>Dashboard!Área_de_impresión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 eden</dc:creator>
  <cp:lastModifiedBy>maximiliano eden</cp:lastModifiedBy>
  <dcterms:created xsi:type="dcterms:W3CDTF">2025-02-19T19:00:26Z</dcterms:created>
  <dcterms:modified xsi:type="dcterms:W3CDTF">2025-02-27T00:43:48Z</dcterms:modified>
</cp:coreProperties>
</file>